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DSO\Desktop\"/>
    </mc:Choice>
  </mc:AlternateContent>
  <xr:revisionPtr revIDLastSave="0" documentId="13_ncr:1_{98DFB529-45A2-4BC3-8BF0-26BF17668AB0}" xr6:coauthVersionLast="36" xr6:coauthVersionMax="36" xr10:uidLastSave="{00000000-0000-0000-0000-000000000000}"/>
  <bookViews>
    <workbookView xWindow="0" yWindow="0" windowWidth="28800" windowHeight="12105" tabRatio="722" activeTab="14" xr2:uid="{00000000-000D-0000-FFFF-FFFF00000000}"/>
  </bookViews>
  <sheets>
    <sheet name="Hoja2" sheetId="9" r:id="rId1"/>
    <sheet name="Hoja1" sheetId="8" r:id="rId2"/>
    <sheet name="Ejercicios 01" sheetId="1" r:id="rId3"/>
    <sheet name="Ejercicios 02" sheetId="2" r:id="rId4"/>
    <sheet name="Hoja4" sheetId="11" r:id="rId5"/>
    <sheet name="Hoja3" sheetId="10" r:id="rId6"/>
    <sheet name="Ejercicios 03" sheetId="3" r:id="rId7"/>
    <sheet name="Hoja5" sheetId="12" r:id="rId8"/>
    <sheet name="Ejercicios 04" sheetId="5" r:id="rId9"/>
    <sheet name="Hoja6" sheetId="13" r:id="rId10"/>
    <sheet name="Ejercicios 05" sheetId="4" r:id="rId11"/>
    <sheet name="Hoja7" sheetId="14" r:id="rId12"/>
    <sheet name="Ejercicios 06" sheetId="6" r:id="rId13"/>
    <sheet name="Hoja8" sheetId="15" r:id="rId14"/>
    <sheet name="Ejercicios 07" sheetId="7" r:id="rId15"/>
  </sheets>
  <definedNames>
    <definedName name="_xlnm._FilterDatabase" localSheetId="2" hidden="1">'Ejercicios 01'!$D$6:$D$33</definedName>
    <definedName name="_xlcn.WorksheetConnection_Ejercicios03A6J281" hidden="1">'Ejercicios 03'!$A$6:$J$28</definedName>
  </definedNames>
  <calcPr calcId="191029"/>
  <pivotCaches>
    <pivotCache cacheId="39" r:id="rId16"/>
    <pivotCache cacheId="40" r:id="rId17"/>
    <pivotCache cacheId="41" r:id="rId18"/>
    <pivotCache cacheId="42" r:id="rId19"/>
    <pivotCache cacheId="43" r:id="rId20"/>
    <pivotCache cacheId="44" r:id="rId21"/>
    <pivotCache cacheId="45" r:id="rId22"/>
    <pivotCache cacheId="46" r:id="rId2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Ejercicios 03!$A$6:$J$28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344147-91E6-4EEB-910A-4DD8FB89487B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8FD9F81-2905-4A26-BC1C-C296B8061AB7}" name="WorksheetConnection_Ejercicios 03!$A$6:$J$28" type="102" refreshedVersion="6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Ejercicios03A6J281"/>
        </x15:connection>
      </ext>
    </extLst>
  </connection>
</connections>
</file>

<file path=xl/sharedStrings.xml><?xml version="1.0" encoding="utf-8"?>
<sst xmlns="http://schemas.openxmlformats.org/spreadsheetml/2006/main" count="1337" uniqueCount="136">
  <si>
    <t>Cartagena</t>
  </si>
  <si>
    <t>Contabilidad</t>
  </si>
  <si>
    <t>Lucía María</t>
  </si>
  <si>
    <t>Cabaña</t>
  </si>
  <si>
    <t>Sanguinetti</t>
  </si>
  <si>
    <t>FI-AAB54</t>
  </si>
  <si>
    <t>Manizales</t>
  </si>
  <si>
    <t>Administración</t>
  </si>
  <si>
    <t>Allen</t>
  </si>
  <si>
    <t>Montaldo</t>
  </si>
  <si>
    <t>Ibarra</t>
  </si>
  <si>
    <t>JU-NON42</t>
  </si>
  <si>
    <t>Medellín</t>
  </si>
  <si>
    <t>Recursos Humanos</t>
  </si>
  <si>
    <t>Carlos Mario</t>
  </si>
  <si>
    <t>Estefan</t>
  </si>
  <si>
    <t>Reyes</t>
  </si>
  <si>
    <t>MI-OST29</t>
  </si>
  <si>
    <t>Logística</t>
  </si>
  <si>
    <t>Fernando Augusto</t>
  </si>
  <si>
    <t>Benitez</t>
  </si>
  <si>
    <t>Ferreira</t>
  </si>
  <si>
    <t>JU-OEN54</t>
  </si>
  <si>
    <t>Diego Eward</t>
  </si>
  <si>
    <t>Perez</t>
  </si>
  <si>
    <t>Dominguez</t>
  </si>
  <si>
    <t>DI-DER50</t>
  </si>
  <si>
    <t>Hugo</t>
  </si>
  <si>
    <t>Nasta</t>
  </si>
  <si>
    <t>Pinheiro</t>
  </si>
  <si>
    <t>ED-OAS81</t>
  </si>
  <si>
    <t>Blanca Mariela</t>
  </si>
  <si>
    <t/>
  </si>
  <si>
    <t>Motta</t>
  </si>
  <si>
    <t>ED-A85</t>
  </si>
  <si>
    <t>Carlos Valerio</t>
  </si>
  <si>
    <t>Isbarbo</t>
  </si>
  <si>
    <t>De La Iglesia</t>
  </si>
  <si>
    <t>JU-OSB17</t>
  </si>
  <si>
    <t>Marketing</t>
  </si>
  <si>
    <t>Victor</t>
  </si>
  <si>
    <t>Albert</t>
  </si>
  <si>
    <t>De Oliveira</t>
  </si>
  <si>
    <t>MI-RLB28</t>
  </si>
  <si>
    <t>Ana</t>
  </si>
  <si>
    <t>Moreira</t>
  </si>
  <si>
    <t>Dotti</t>
  </si>
  <si>
    <t>DI-AOR46</t>
  </si>
  <si>
    <t>Amavira Haydee</t>
  </si>
  <si>
    <t>Poniachjk</t>
  </si>
  <si>
    <t>Balcarcel</t>
  </si>
  <si>
    <t>MI-EON29</t>
  </si>
  <si>
    <t>Bogota</t>
  </si>
  <si>
    <t>Zosimo</t>
  </si>
  <si>
    <t>Rocha</t>
  </si>
  <si>
    <t>Varela</t>
  </si>
  <si>
    <t>ED-OOC60</t>
  </si>
  <si>
    <t>Eduardo Jorge</t>
  </si>
  <si>
    <t>Cutinella</t>
  </si>
  <si>
    <t>Olivera</t>
  </si>
  <si>
    <t>JU-EUT49</t>
  </si>
  <si>
    <t>Eduardo</t>
  </si>
  <si>
    <t>Lazzo</t>
  </si>
  <si>
    <t>Rovira</t>
  </si>
  <si>
    <t>ED-OAZ93</t>
  </si>
  <si>
    <t>Miguel Angel</t>
  </si>
  <si>
    <t>Perdomo</t>
  </si>
  <si>
    <t>Minola</t>
  </si>
  <si>
    <t>DI-LER98</t>
  </si>
  <si>
    <t>Elias Moises</t>
  </si>
  <si>
    <t>Machado</t>
  </si>
  <si>
    <t>Lopez</t>
  </si>
  <si>
    <t>ED-SAC88</t>
  </si>
  <si>
    <t>Jorge Andres</t>
  </si>
  <si>
    <t>Tejera</t>
  </si>
  <si>
    <t>Alvez</t>
  </si>
  <si>
    <t>ED-SEJ97</t>
  </si>
  <si>
    <t>Maria Fernanda</t>
  </si>
  <si>
    <t>Vignola</t>
  </si>
  <si>
    <t>Coustard</t>
  </si>
  <si>
    <t>ED-AIG66</t>
  </si>
  <si>
    <t>Cecilia</t>
  </si>
  <si>
    <t>Chirelli</t>
  </si>
  <si>
    <t>Carresse</t>
  </si>
  <si>
    <t>SU-AHI98</t>
  </si>
  <si>
    <t>Luis</t>
  </si>
  <si>
    <t>Martinez</t>
  </si>
  <si>
    <t>Areosa</t>
  </si>
  <si>
    <t>GE-SAR51</t>
  </si>
  <si>
    <t>Carlos Humberto</t>
  </si>
  <si>
    <t>Recuero</t>
  </si>
  <si>
    <t>Zarauz</t>
  </si>
  <si>
    <t>SE-OEC57</t>
  </si>
  <si>
    <t>Milton Eugenio</t>
  </si>
  <si>
    <t>Sanchez</t>
  </si>
  <si>
    <t>Curci</t>
  </si>
  <si>
    <t>GE-OAN94</t>
  </si>
  <si>
    <t>Bonificación</t>
  </si>
  <si>
    <t>Sueldo</t>
  </si>
  <si>
    <t>Ingreso</t>
  </si>
  <si>
    <t>Sucursal</t>
  </si>
  <si>
    <t>Departamento</t>
  </si>
  <si>
    <t>F. Nacimiento</t>
  </si>
  <si>
    <t>Nombres</t>
  </si>
  <si>
    <t>2do. Apellido</t>
  </si>
  <si>
    <t>1er. Apellido</t>
  </si>
  <si>
    <t>Código</t>
  </si>
  <si>
    <t>Casado</t>
  </si>
  <si>
    <t>F</t>
  </si>
  <si>
    <t>Soltero</t>
  </si>
  <si>
    <t>M</t>
  </si>
  <si>
    <t>Viudo</t>
  </si>
  <si>
    <t>Divorciado</t>
  </si>
  <si>
    <t>Hijos</t>
  </si>
  <si>
    <t>Estado Civil</t>
  </si>
  <si>
    <t>Sexo</t>
  </si>
  <si>
    <t>FI-AAB55</t>
  </si>
  <si>
    <t>FI-AAB56</t>
  </si>
  <si>
    <t>FI-AAB57</t>
  </si>
  <si>
    <t>FI-AAB58</t>
  </si>
  <si>
    <t>FI-AAB59</t>
  </si>
  <si>
    <t>Etiquetas de fila</t>
  </si>
  <si>
    <t>Total general</t>
  </si>
  <si>
    <t>Suma de Sueldo</t>
  </si>
  <si>
    <t>Suma de Sueldo2</t>
  </si>
  <si>
    <t>Sucursales</t>
  </si>
  <si>
    <t>Etiquetas de columna</t>
  </si>
  <si>
    <t>Suma de Bonificación</t>
  </si>
  <si>
    <t>Departamentos</t>
  </si>
  <si>
    <t>Promedio de Sueldo</t>
  </si>
  <si>
    <t>Cuenta de Código</t>
  </si>
  <si>
    <t>Promedio de Hijos</t>
  </si>
  <si>
    <t>mujeres</t>
  </si>
  <si>
    <t>sucursal</t>
  </si>
  <si>
    <t>Total Cartagena</t>
  </si>
  <si>
    <t>Total Manizales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</si>
</sst>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164" formatCode="_-&quot;S/&quot;* #,##0.00_-;\-&quot;S/&quot;* #,##0.00_-;_-&quot;S/&quot;* &quot;-&quot;??_-;_-@_-"/>
    <numFmt numFmtId="165" formatCode="_-&quot;S/&quot;* #,##0_-;\-&quot;S/&quot;* #,##0_-;_-&quot;S/&quot;* &quot;-&quot;??_-;_-@_-"/>
    <numFmt numFmtId="166" formatCode="_-[$$-240A]\ * #,##0.00_-;\-[$$-240A]\ * #,##0.00_-;_-[$$-240A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 val="singleAccounting"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6" fontId="0" fillId="0" borderId="0" xfId="1" applyNumberFormat="1" applyFont="1"/>
    <xf numFmtId="14" fontId="0" fillId="0" borderId="0" xfId="0" applyNumberFormat="1"/>
    <xf numFmtId="166" fontId="0" fillId="0" borderId="0" xfId="2" applyNumberFormat="1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4" fontId="3" fillId="3" borderId="0" xfId="0" applyNumberFormat="1" applyFont="1" applyFill="1"/>
    <xf numFmtId="165" fontId="0" fillId="0" borderId="0" xfId="0" applyNumberFormat="1" applyAlignment="1">
      <alignment horizontal="left"/>
    </xf>
    <xf numFmtId="165" fontId="0" fillId="0" borderId="0" xfId="0" applyNumberFormat="1"/>
    <xf numFmtId="9" fontId="0" fillId="0" borderId="0" xfId="0" applyNumberFormat="1"/>
    <xf numFmtId="10" fontId="0" fillId="0" borderId="0" xfId="0" applyNumberFormat="1"/>
    <xf numFmtId="165" fontId="0" fillId="0" borderId="0" xfId="0" pivotButton="1" applyNumberFormat="1"/>
    <xf numFmtId="1" fontId="0" fillId="0" borderId="0" xfId="0" applyNumberFormat="1"/>
  </cellXfs>
  <cellStyles count="3">
    <cellStyle name="Moneda" xfId="1" builtinId="4"/>
    <cellStyle name="Moneda [0]" xfId="2" builtinId="7"/>
    <cellStyle name="Normal" xfId="0" builtinId="0"/>
  </cellStyles>
  <dxfs count="22">
    <dxf>
      <numFmt numFmtId="14" formatCode="0.00%"/>
    </dxf>
    <dxf>
      <numFmt numFmtId="13" formatCode="0%"/>
    </dxf>
    <dxf>
      <numFmt numFmtId="13" formatCode="0%"/>
    </dxf>
    <dxf>
      <numFmt numFmtId="1" formatCode="0"/>
    </dxf>
    <dxf>
      <numFmt numFmtId="165" formatCode="_-&quot;S/&quot;* #,##0_-;\-&quot;S/&quot;* #,##0_-;_-&quot;S/&quot;* &quot;-&quot;??_-;_-@_-"/>
    </dxf>
    <dxf>
      <numFmt numFmtId="165" formatCode="_-&quot;S/&quot;* #,##0_-;\-&quot;S/&quot;* #,##0_-;_-&quot;S/&quot;* &quot;-&quot;??_-;_-@_-"/>
    </dxf>
    <dxf>
      <numFmt numFmtId="165" formatCode="_-&quot;S/&quot;* #,##0_-;\-&quot;S/&quot;* #,##0_-;_-&quot;S/&quot;* &quot;-&quot;??_-;_-@_-"/>
    </dxf>
    <dxf>
      <numFmt numFmtId="165" formatCode="_-&quot;S/&quot;* #,##0_-;\-&quot;S/&quot;* #,##0_-;_-&quot;S/&quot;* &quot;-&quot;??_-;_-@_-"/>
    </dxf>
    <dxf>
      <numFmt numFmtId="165" formatCode="_-&quot;S/&quot;* #,##0_-;\-&quot;S/&quot;* #,##0_-;_-&quot;S/&quot;* &quot;-&quot;??_-;_-@_-"/>
    </dxf>
    <dxf>
      <numFmt numFmtId="13" formatCode="0%"/>
    </dxf>
    <dxf>
      <numFmt numFmtId="165" formatCode="_-&quot;S/&quot;* #,##0_-;\-&quot;S/&quot;* #,##0_-;_-&quot;S/&quot;* &quot;-&quot;??_-;_-@_-"/>
    </dxf>
    <dxf>
      <font>
        <u val="singleAccounting"/>
        <color rgb="FFFF0000"/>
      </font>
      <fill>
        <patternFill patternType="solid">
          <fgColor indexed="64"/>
          <bgColor theme="0" tint="-0.34998626667073579"/>
        </patternFill>
      </fill>
    </dxf>
    <dxf>
      <numFmt numFmtId="164" formatCode="_-&quot;S/&quot;* #,##0.00_-;\-&quot;S/&quot;* #,##0.00_-;_-&quot;S/&quot;* &quot;-&quot;??_-;_-@_-"/>
    </dxf>
    <dxf>
      <font>
        <u val="singleAccounting"/>
      </font>
    </dxf>
    <dxf>
      <fill>
        <patternFill patternType="solid">
          <bgColor theme="0" tint="-0.34998626667073579"/>
        </patternFill>
      </fill>
    </dxf>
    <dxf>
      <font>
        <color rgb="FFFF0000"/>
      </font>
    </dxf>
    <dxf>
      <numFmt numFmtId="164" formatCode="_-&quot;S/&quot;* #,##0.00_-;\-&quot;S/&quot;* #,##0.00_-;_-&quot;S/&quot;* &quot;-&quot;??_-;_-@_-"/>
    </dxf>
    <dxf>
      <numFmt numFmtId="164" formatCode="_-&quot;S/&quot;* #,##0.00_-;\-&quot;S/&quot;* #,##0.00_-;_-&quot;S/&quot;* &quot;-&quot;??_-;_-@_-"/>
    </dxf>
    <dxf>
      <numFmt numFmtId="164" formatCode="_-&quot;S/&quot;* #,##0.00_-;\-&quot;S/&quot;* #,##0.00_-;_-&quot;S/&quot;* &quot;-&quot;??_-;_-@_-"/>
    </dxf>
    <dxf>
      <numFmt numFmtId="164" formatCode="_-&quot;S/&quot;* #,##0.00_-;\-&quot;S/&quot;* #,##0.00_-;_-&quot;S/&quot;* &quot;-&quot;??_-;_-@_-"/>
    </dxf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28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66675</xdr:rowOff>
    </xdr:from>
    <xdr:to>
      <xdr:col>9</xdr:col>
      <xdr:colOff>781050</xdr:colOff>
      <xdr:row>2</xdr:row>
      <xdr:rowOff>38100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8E72C7A-5791-4C56-9A18-DE96761E77A0}"/>
            </a:ext>
          </a:extLst>
        </xdr:cNvPr>
        <xdr:cNvSpPr txBox="1"/>
      </xdr:nvSpPr>
      <xdr:spPr>
        <a:xfrm>
          <a:off x="47625" y="66675"/>
          <a:ext cx="7572375" cy="35242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/>
            <a:t>En una hoja nueva, crea una tabla dinámica que muestre el total del sueldo destinado a cada sucursal.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66675</xdr:rowOff>
    </xdr:from>
    <xdr:to>
      <xdr:col>9</xdr:col>
      <xdr:colOff>781050</xdr:colOff>
      <xdr:row>2</xdr:row>
      <xdr:rowOff>200025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23F1F12-1E8A-4CB3-87F4-64740A79BC15}"/>
            </a:ext>
          </a:extLst>
        </xdr:cNvPr>
        <xdr:cNvSpPr txBox="1"/>
      </xdr:nvSpPr>
      <xdr:spPr>
        <a:xfrm>
          <a:off x="47625" y="66675"/>
          <a:ext cx="7572375" cy="50482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/>
            <a:t>En esta misma hoja, a partir de la celda L6, crea una tabla dinámica que muestra la bonificación pagada en cada sucursal (filas) y en cada departamento (columnas).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66675</xdr:rowOff>
    </xdr:from>
    <xdr:to>
      <xdr:col>9</xdr:col>
      <xdr:colOff>781050</xdr:colOff>
      <xdr:row>2</xdr:row>
      <xdr:rowOff>228600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52D00EF-0EAC-4049-B910-58BBBDCC044D}"/>
            </a:ext>
          </a:extLst>
        </xdr:cNvPr>
        <xdr:cNvSpPr txBox="1"/>
      </xdr:nvSpPr>
      <xdr:spPr>
        <a:xfrm>
          <a:off x="47625" y="66675"/>
          <a:ext cx="7572375" cy="50482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/>
            <a:t>En una nueva hoja, muestra el promedio del sueldo destinado a cada sucursal.</a:t>
          </a:r>
          <a:r>
            <a:rPr lang="es-PE" sz="1200" baseline="0"/>
            <a:t> Aplica un filtro por departamento.</a:t>
          </a:r>
          <a:endParaRPr lang="es-PE" sz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66675</xdr:rowOff>
    </xdr:from>
    <xdr:to>
      <xdr:col>12</xdr:col>
      <xdr:colOff>781050</xdr:colOff>
      <xdr:row>2</xdr:row>
      <xdr:rowOff>228600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6EFFECA-DEF1-4AA1-8050-106CB28E0596}"/>
            </a:ext>
          </a:extLst>
        </xdr:cNvPr>
        <xdr:cNvSpPr txBox="1"/>
      </xdr:nvSpPr>
      <xdr:spPr>
        <a:xfrm>
          <a:off x="47625" y="66675"/>
          <a:ext cx="9858375" cy="50482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/>
            <a:t>En una nueva hoja, muestra</a:t>
          </a:r>
          <a:r>
            <a:rPr lang="es-PE" sz="1200" baseline="0"/>
            <a:t> el cuántos empleados casados, solteros, viudos y divorciados hay en la empresa. Además en qué sucursal trabajan (ambos datos en filas).</a:t>
          </a:r>
          <a:endParaRPr lang="es-PE" sz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66675</xdr:rowOff>
    </xdr:from>
    <xdr:to>
      <xdr:col>12</xdr:col>
      <xdr:colOff>781050</xdr:colOff>
      <xdr:row>2</xdr:row>
      <xdr:rowOff>228600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7F6CACA-9315-4135-955F-B3F2C0CF586A}"/>
            </a:ext>
          </a:extLst>
        </xdr:cNvPr>
        <xdr:cNvSpPr txBox="1"/>
      </xdr:nvSpPr>
      <xdr:spPr>
        <a:xfrm>
          <a:off x="47625" y="66675"/>
          <a:ext cx="9858375" cy="50482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/>
            <a:t>En una nueva hoja, muestra cuántos hijos tienen en promedio las empleadas mujeres de cada uno</a:t>
          </a:r>
          <a:r>
            <a:rPr lang="es-PE" sz="1200" baseline="0"/>
            <a:t> de los departamentos en cada una de las sucursales.</a:t>
          </a:r>
          <a:endParaRPr lang="es-PE" sz="12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66675</xdr:rowOff>
    </xdr:from>
    <xdr:to>
      <xdr:col>12</xdr:col>
      <xdr:colOff>781050</xdr:colOff>
      <xdr:row>2</xdr:row>
      <xdr:rowOff>228600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CEC699F-D233-4642-B51C-BF1FB56B04EA}"/>
            </a:ext>
          </a:extLst>
        </xdr:cNvPr>
        <xdr:cNvSpPr txBox="1"/>
      </xdr:nvSpPr>
      <xdr:spPr>
        <a:xfrm>
          <a:off x="47625" y="66675"/>
          <a:ext cx="9858375" cy="50482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/>
            <a:t>En una nueva hoja, muestra qué porcentaje de sueldo se destina a cada sucursal.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66675</xdr:rowOff>
    </xdr:from>
    <xdr:to>
      <xdr:col>12</xdr:col>
      <xdr:colOff>781050</xdr:colOff>
      <xdr:row>2</xdr:row>
      <xdr:rowOff>228600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B3E6F0F-5EBA-47B4-B802-9181651FC6D2}"/>
            </a:ext>
          </a:extLst>
        </xdr:cNvPr>
        <xdr:cNvSpPr txBox="1"/>
      </xdr:nvSpPr>
      <xdr:spPr>
        <a:xfrm>
          <a:off x="47625" y="66675"/>
          <a:ext cx="9858375" cy="50482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/>
            <a:t>En una nueva hoja, muestra qué porcentaje de bonificación se destina a cada departamento (filas) y en cada sucursal (columnas).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SO" refreshedDate="45708.779283564814" createdVersion="6" refreshedVersion="6" minRefreshableVersion="3" recordCount="27" xr:uid="{65E4BC37-2E7C-41A6-88F5-BA32970194E3}">
  <cacheSource type="worksheet">
    <worksheetSource ref="A6:J33" sheet="Ejercicios 01"/>
  </cacheSource>
  <cacheFields count="10">
    <cacheField name="Código" numFmtId="0">
      <sharedItems/>
    </cacheField>
    <cacheField name="1er. Apellido" numFmtId="0">
      <sharedItems count="22">
        <s v="Curci"/>
        <s v="Zarauz"/>
        <s v="Areosa"/>
        <s v="Carresse"/>
        <s v="Coustard"/>
        <s v="Alvez"/>
        <s v="Lopez"/>
        <s v="Minola"/>
        <s v="Rovira"/>
        <s v="Olivera"/>
        <s v="Varela"/>
        <s v="Balcarcel"/>
        <s v="Dotti"/>
        <s v="De Oliveira"/>
        <s v="De La Iglesia"/>
        <s v="Motta"/>
        <s v="Pinheiro"/>
        <s v="Dominguez"/>
        <s v="Ferreira"/>
        <s v="Reyes"/>
        <s v="Ibarra"/>
        <s v="Sanguinetti"/>
      </sharedItems>
    </cacheField>
    <cacheField name="2do. Apellido" numFmtId="0">
      <sharedItems/>
    </cacheField>
    <cacheField name="Nombres" numFmtId="0">
      <sharedItems/>
    </cacheField>
    <cacheField name="F. Nacimiento" numFmtId="14">
      <sharedItems containsSemiMixedTypes="0" containsNonDate="0" containsDate="1" containsString="0" minDate="1980-02-15T00:00:00" maxDate="1984-10-25T00:00:00"/>
    </cacheField>
    <cacheField name="Departamento" numFmtId="0">
      <sharedItems count="5">
        <s v="Administración"/>
        <s v="Logística"/>
        <s v="Recursos Humanos"/>
        <s v="Marketing"/>
        <s v="Contabilidad"/>
      </sharedItems>
    </cacheField>
    <cacheField name="Sucursal" numFmtId="0">
      <sharedItems count="4">
        <s v="Medellín"/>
        <s v="Bogota"/>
        <s v="Manizales"/>
        <s v="Cartagena"/>
      </sharedItems>
    </cacheField>
    <cacheField name="Ingreso" numFmtId="14">
      <sharedItems containsNonDate="0" containsDate="1" containsString="0" containsBlank="1" minDate="2000-01-19T00:00:00" maxDate="2017-11-26T00:00:00"/>
    </cacheField>
    <cacheField name="Sueldo" numFmtId="166">
      <sharedItems containsSemiMixedTypes="0" containsString="0" containsNumber="1" containsInteger="1" minValue="1200000" maxValue="7500000"/>
    </cacheField>
    <cacheField name="Bonificación" numFmtId="166">
      <sharedItems containsSemiMixedTypes="0" containsString="0" containsNumber="1" containsInteger="1" minValue="150000" maxValue="1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SO" refreshedDate="45708.834938541666" createdVersion="6" refreshedVersion="6" minRefreshableVersion="3" recordCount="22" xr:uid="{5F853783-289A-4DBC-9CBD-4484D1DB2DBC}">
  <cacheSource type="worksheet">
    <worksheetSource ref="A6:J28" sheet="Ejercicios 02"/>
  </cacheSource>
  <cacheFields count="10">
    <cacheField name="Código" numFmtId="0">
      <sharedItems/>
    </cacheField>
    <cacheField name="1er. Apellido" numFmtId="0">
      <sharedItems/>
    </cacheField>
    <cacheField name="2do. Apellido" numFmtId="0">
      <sharedItems/>
    </cacheField>
    <cacheField name="Nombres" numFmtId="0">
      <sharedItems/>
    </cacheField>
    <cacheField name="F. Nacimiento" numFmtId="14">
      <sharedItems containsSemiMixedTypes="0" containsNonDate="0" containsDate="1" containsString="0" minDate="1980-02-15T00:00:00" maxDate="1984-10-25T00:00:00"/>
    </cacheField>
    <cacheField name="Departamento" numFmtId="0">
      <sharedItems count="5">
        <s v="Administración"/>
        <s v="Logística"/>
        <s v="Recursos Humanos"/>
        <s v="Marketing"/>
        <s v="Contabilidad"/>
      </sharedItems>
    </cacheField>
    <cacheField name="Sucursal" numFmtId="0">
      <sharedItems count="4">
        <s v="Medellín"/>
        <s v="Bogota"/>
        <s v="Manizales"/>
        <s v="Cartagena"/>
      </sharedItems>
    </cacheField>
    <cacheField name="Ingreso" numFmtId="14">
      <sharedItems containsNonDate="0" containsDate="1" containsString="0" containsBlank="1" minDate="2000-01-19T00:00:00" maxDate="2017-11-26T00:00:00"/>
    </cacheField>
    <cacheField name="Sueldo" numFmtId="166">
      <sharedItems containsSemiMixedTypes="0" containsString="0" containsNumber="1" containsInteger="1" minValue="1200000" maxValue="7500000"/>
    </cacheField>
    <cacheField name="Bonificación" numFmtId="166">
      <sharedItems containsSemiMixedTypes="0" containsString="0" containsNumber="1" containsInteger="1" minValue="150000" maxValue="1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SO" refreshedDate="45708.839276157407" createdVersion="6" refreshedVersion="6" minRefreshableVersion="3" recordCount="22" xr:uid="{CF525201-0071-40B6-9B90-130153CAA8BF}">
  <cacheSource type="worksheet">
    <worksheetSource ref="A6:J28" sheet="Ejercicios 03"/>
  </cacheSource>
  <cacheFields count="10">
    <cacheField name="Código" numFmtId="0">
      <sharedItems/>
    </cacheField>
    <cacheField name="1er. Apellido" numFmtId="0">
      <sharedItems/>
    </cacheField>
    <cacheField name="2do. Apellido" numFmtId="0">
      <sharedItems/>
    </cacheField>
    <cacheField name="Nombres" numFmtId="0">
      <sharedItems/>
    </cacheField>
    <cacheField name="F. Nacimiento" numFmtId="14">
      <sharedItems containsSemiMixedTypes="0" containsNonDate="0" containsDate="1" containsString="0" minDate="1980-02-15T00:00:00" maxDate="1984-10-25T00:00:00"/>
    </cacheField>
    <cacheField name="Departamento" numFmtId="0">
      <sharedItems/>
    </cacheField>
    <cacheField name="Sucursal" numFmtId="0">
      <sharedItems count="4">
        <s v="Medellín"/>
        <s v="Bogota"/>
        <s v="Manizales"/>
        <s v="Cartagena"/>
      </sharedItems>
    </cacheField>
    <cacheField name="Ingreso" numFmtId="14">
      <sharedItems containsNonDate="0" containsDate="1" containsString="0" containsBlank="1" minDate="2000-01-19T00:00:00" maxDate="2017-11-26T00:00:00"/>
    </cacheField>
    <cacheField name="Sueldo" numFmtId="166">
      <sharedItems containsSemiMixedTypes="0" containsString="0" containsNumber="1" containsInteger="1" minValue="1200000" maxValue="7500000" count="22">
        <n v="1200000"/>
        <n v="1500000"/>
        <n v="1800000"/>
        <n v="2100000"/>
        <n v="2400000"/>
        <n v="2700000"/>
        <n v="3000000"/>
        <n v="3300000"/>
        <n v="3600000"/>
        <n v="3900000"/>
        <n v="4200000"/>
        <n v="4500000"/>
        <n v="4800000"/>
        <n v="5100000"/>
        <n v="5400000"/>
        <n v="5700000"/>
        <n v="6000000"/>
        <n v="6300000"/>
        <n v="6600000"/>
        <n v="6900000"/>
        <n v="7200000"/>
        <n v="7500000"/>
      </sharedItems>
    </cacheField>
    <cacheField name="Bonificación" numFmtId="166">
      <sharedItems containsSemiMixedTypes="0" containsString="0" containsNumber="1" containsInteger="1" minValue="150000" maxValue="1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SO" refreshedDate="45708.839779861111" backgroundQuery="1" createdVersion="6" refreshedVersion="6" minRefreshableVersion="3" recordCount="0" supportSubquery="1" supportAdvancedDrill="1" xr:uid="{D09D1C39-F2F7-4CE6-AB4C-1563AEF971D8}">
  <cacheSource type="external" connectionId="1"/>
  <cacheFields count="2">
    <cacheField name="[Measures].[Suma de Sueldo]" caption="Suma de Sueldo" numFmtId="0" hierarchy="12" level="32767"/>
    <cacheField name="[Measures].[Suma de Bonificación]" caption="Suma de Bonificación" numFmtId="0" hierarchy="13" level="32767"/>
  </cacheFields>
  <cacheHierarchies count="14">
    <cacheHierarchy uniqueName="[Rango].[Código]" caption="Código" attribute="1" defaultMemberUniqueName="[Rango].[Código].[All]" allUniqueName="[Rango].[Código].[All]" dimensionUniqueName="[Rango]" displayFolder="" count="0" memberValueDatatype="130" unbalanced="0"/>
    <cacheHierarchy uniqueName="[Rango].[1er. Apellido]" caption="1er. Apellido" attribute="1" defaultMemberUniqueName="[Rango].[1er. Apellido].[All]" allUniqueName="[Rango].[1er. Apellido].[All]" dimensionUniqueName="[Rango]" displayFolder="" count="0" memberValueDatatype="130" unbalanced="0"/>
    <cacheHierarchy uniqueName="[Rango].[2do. Apellido]" caption="2do. Apellido" attribute="1" defaultMemberUniqueName="[Rango].[2do. Apellido].[All]" allUniqueName="[Rango].[2do. Apellido].[All]" dimensionUniqueName="[Rango]" displayFolder="" count="0" memberValueDatatype="130" unbalanced="0"/>
    <cacheHierarchy uniqueName="[Rango].[Nombres]" caption="Nombres" attribute="1" defaultMemberUniqueName="[Rango].[Nombres].[All]" allUniqueName="[Rango].[Nombres].[All]" dimensionUniqueName="[Rango]" displayFolder="" count="0" memberValueDatatype="130" unbalanced="0"/>
    <cacheHierarchy uniqueName="[Rango].[F. Nacimiento]" caption="F. Nacimiento" attribute="1" time="1" defaultMemberUniqueName="[Rango].[F. Nacimiento].[All]" allUniqueName="[Rango].[F. Nacimiento].[All]" dimensionUniqueName="[Rango]" displayFolder="" count="0" memberValueDatatype="7" unbalanced="0"/>
    <cacheHierarchy uniqueName="[Rango].[Departamento]" caption="Departamento" attribute="1" defaultMemberUniqueName="[Rango].[Departamento].[All]" allUniqueName="[Rango].[Departamento].[All]" dimensionUniqueName="[Rango]" displayFolder="" count="0" memberValueDatatype="130" unbalanced="0"/>
    <cacheHierarchy uniqueName="[Rango].[Sucursal]" caption="Sucursal" attribute="1" defaultMemberUniqueName="[Rango].[Sucursal].[All]" allUniqueName="[Rango].[Sucursal].[All]" dimensionUniqueName="[Rango]" displayFolder="" count="0" memberValueDatatype="130" unbalanced="0"/>
    <cacheHierarchy uniqueName="[Rango].[Ingreso]" caption="Ingreso" attribute="1" time="1" defaultMemberUniqueName="[Rango].[Ingreso].[All]" allUniqueName="[Rango].[Ingreso].[All]" dimensionUniqueName="[Rango]" displayFolder="" count="0" memberValueDatatype="7" unbalanced="0"/>
    <cacheHierarchy uniqueName="[Rango].[Sueldo]" caption="Sueldo" attribute="1" defaultMemberUniqueName="[Rango].[Sueldo].[All]" allUniqueName="[Rango].[Sueldo].[All]" dimensionUniqueName="[Rango]" displayFolder="" count="0" memberValueDatatype="20" unbalanced="0"/>
    <cacheHierarchy uniqueName="[Rango].[Bonificación]" caption="Bonificación" attribute="1" defaultMemberUniqueName="[Rango].[Bonificación].[All]" allUniqueName="[Rango].[Bonificación].[All]" dimensionUniqueName="[Rango]" displayFolder="" count="0" memberValueDatatype="2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Sueldo]" caption="Suma de Sueldo" measure="1" displayFolder="" measureGroup="Rang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Bonificación]" caption="Suma de Bonificación" measure="1" displayFolder="" measureGroup="Rang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SO" refreshedDate="45708.844807060188" createdVersion="6" refreshedVersion="6" minRefreshableVersion="3" recordCount="22" xr:uid="{5BA8EA29-48A3-4BFB-81E1-D15AA59A3404}">
  <cacheSource type="worksheet">
    <worksheetSource ref="A6:M28" sheet="Ejercicios 04"/>
  </cacheSource>
  <cacheFields count="13">
    <cacheField name="Código" numFmtId="0">
      <sharedItems/>
    </cacheField>
    <cacheField name="1er. Apellido" numFmtId="0">
      <sharedItems/>
    </cacheField>
    <cacheField name="2do. Apellido" numFmtId="0">
      <sharedItems/>
    </cacheField>
    <cacheField name="Nombres" numFmtId="0">
      <sharedItems/>
    </cacheField>
    <cacheField name="Sexo" numFmtId="0">
      <sharedItems/>
    </cacheField>
    <cacheField name="F. Nacimiento" numFmtId="14">
      <sharedItems containsSemiMixedTypes="0" containsNonDate="0" containsDate="1" containsString="0" minDate="1980-02-15T00:00:00" maxDate="1984-10-25T00:00:00"/>
    </cacheField>
    <cacheField name="Estado Civil" numFmtId="14">
      <sharedItems count="4">
        <s v="Viudo"/>
        <s v="Soltero"/>
        <s v="Casado"/>
        <s v="Divorciado"/>
      </sharedItems>
    </cacheField>
    <cacheField name="Hijos" numFmtId="0">
      <sharedItems containsSemiMixedTypes="0" containsString="0" containsNumber="1" containsInteger="1" minValue="0" maxValue="6" count="7">
        <n v="1"/>
        <n v="2"/>
        <n v="4"/>
        <n v="5"/>
        <n v="6"/>
        <n v="3"/>
        <n v="0"/>
      </sharedItems>
    </cacheField>
    <cacheField name="Departamento" numFmtId="0">
      <sharedItems/>
    </cacheField>
    <cacheField name="Sucursal" numFmtId="0">
      <sharedItems count="4">
        <s v="Medellín"/>
        <s v="Bogota"/>
        <s v="Manizales"/>
        <s v="Cartagena"/>
      </sharedItems>
    </cacheField>
    <cacheField name="Ingreso" numFmtId="14">
      <sharedItems containsNonDate="0" containsDate="1" containsString="0" containsBlank="1" minDate="2000-01-19T00:00:00" maxDate="2017-11-26T00:00:00"/>
    </cacheField>
    <cacheField name="Sueldo" numFmtId="166">
      <sharedItems containsSemiMixedTypes="0" containsString="0" containsNumber="1" containsInteger="1" minValue="1200000" maxValue="7500000"/>
    </cacheField>
    <cacheField name="Bonificación" numFmtId="166">
      <sharedItems containsSemiMixedTypes="0" containsString="0" containsNumber="1" containsInteger="1" minValue="150000" maxValue="1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SO" refreshedDate="45708.852482986113" createdVersion="6" refreshedVersion="6" minRefreshableVersion="3" recordCount="22" xr:uid="{490D6DC3-477E-4326-8F7B-1656EAC3CFD4}">
  <cacheSource type="worksheet">
    <worksheetSource ref="A6:M28" sheet="Ejercicios 05"/>
  </cacheSource>
  <cacheFields count="13">
    <cacheField name="Código" numFmtId="0">
      <sharedItems/>
    </cacheField>
    <cacheField name="1er. Apellido" numFmtId="0">
      <sharedItems/>
    </cacheField>
    <cacheField name="2do. Apellido" numFmtId="0">
      <sharedItems/>
    </cacheField>
    <cacheField name="Nombres" numFmtId="0">
      <sharedItems/>
    </cacheField>
    <cacheField name="Sexo" numFmtId="0">
      <sharedItems count="2">
        <s v="M"/>
        <s v="F"/>
      </sharedItems>
    </cacheField>
    <cacheField name="F. Nacimiento" numFmtId="14">
      <sharedItems containsSemiMixedTypes="0" containsNonDate="0" containsDate="1" containsString="0" minDate="1980-02-15T00:00:00" maxDate="1984-10-25T00:00:00"/>
    </cacheField>
    <cacheField name="Estado Civil" numFmtId="14">
      <sharedItems/>
    </cacheField>
    <cacheField name="Hijos" numFmtId="0">
      <sharedItems containsSemiMixedTypes="0" containsString="0" containsNumber="1" containsInteger="1" minValue="0" maxValue="6" count="7">
        <n v="1"/>
        <n v="2"/>
        <n v="4"/>
        <n v="5"/>
        <n v="6"/>
        <n v="3"/>
        <n v="0"/>
      </sharedItems>
    </cacheField>
    <cacheField name="Departamento" numFmtId="0">
      <sharedItems count="5">
        <s v="Administración"/>
        <s v="Logística"/>
        <s v="Recursos Humanos"/>
        <s v="Marketing"/>
        <s v="Contabilidad"/>
      </sharedItems>
    </cacheField>
    <cacheField name="Sucursal" numFmtId="0">
      <sharedItems count="4">
        <s v="Medellín"/>
        <s v="Bogota"/>
        <s v="Manizales"/>
        <s v="Cartagena"/>
      </sharedItems>
    </cacheField>
    <cacheField name="Ingreso" numFmtId="14">
      <sharedItems containsNonDate="0" containsDate="1" containsString="0" containsBlank="1" minDate="2000-01-19T00:00:00" maxDate="2017-11-26T00:00:00"/>
    </cacheField>
    <cacheField name="Sueldo" numFmtId="166">
      <sharedItems containsSemiMixedTypes="0" containsString="0" containsNumber="1" containsInteger="1" minValue="1200000" maxValue="7500000"/>
    </cacheField>
    <cacheField name="Bonificación" numFmtId="166">
      <sharedItems containsSemiMixedTypes="0" containsString="0" containsNumber="1" containsInteger="1" minValue="150000" maxValue="1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SO" refreshedDate="45708.861232291667" createdVersion="6" refreshedVersion="6" minRefreshableVersion="3" recordCount="22" xr:uid="{9CE93E5B-5D2A-4163-A45D-203BCE7CC5D5}">
  <cacheSource type="worksheet">
    <worksheetSource ref="A6:M28" sheet="Ejercicios 06"/>
  </cacheSource>
  <cacheFields count="13">
    <cacheField name="Código" numFmtId="0">
      <sharedItems/>
    </cacheField>
    <cacheField name="1er. Apellido" numFmtId="0">
      <sharedItems/>
    </cacheField>
    <cacheField name="2do. Apellido" numFmtId="0">
      <sharedItems/>
    </cacheField>
    <cacheField name="Nombres" numFmtId="0">
      <sharedItems/>
    </cacheField>
    <cacheField name="Sexo" numFmtId="0">
      <sharedItems/>
    </cacheField>
    <cacheField name="F. Nacimiento" numFmtId="14">
      <sharedItems containsSemiMixedTypes="0" containsNonDate="0" containsDate="1" containsString="0" minDate="1980-02-15T00:00:00" maxDate="1984-10-25T00:00:00"/>
    </cacheField>
    <cacheField name="Estado Civil" numFmtId="14">
      <sharedItems/>
    </cacheField>
    <cacheField name="Hijos" numFmtId="0">
      <sharedItems containsSemiMixedTypes="0" containsString="0" containsNumber="1" containsInteger="1" minValue="0" maxValue="6"/>
    </cacheField>
    <cacheField name="Departamento" numFmtId="0">
      <sharedItems/>
    </cacheField>
    <cacheField name="Sucursal" numFmtId="0">
      <sharedItems count="4">
        <s v="Medellín"/>
        <s v="Bogota"/>
        <s v="Manizales"/>
        <s v="Cartagena"/>
      </sharedItems>
    </cacheField>
    <cacheField name="Ingreso" numFmtId="14">
      <sharedItems containsNonDate="0" containsDate="1" containsString="0" containsBlank="1" minDate="2000-01-19T00:00:00" maxDate="2017-11-26T00:00:00"/>
    </cacheField>
    <cacheField name="Sueldo" numFmtId="166">
      <sharedItems containsSemiMixedTypes="0" containsString="0" containsNumber="1" containsInteger="1" minValue="1200000" maxValue="7500000" count="22">
        <n v="1200000"/>
        <n v="1500000"/>
        <n v="1800000"/>
        <n v="2100000"/>
        <n v="2400000"/>
        <n v="2700000"/>
        <n v="3000000"/>
        <n v="3300000"/>
        <n v="3600000"/>
        <n v="3900000"/>
        <n v="4200000"/>
        <n v="4500000"/>
        <n v="4800000"/>
        <n v="5100000"/>
        <n v="5400000"/>
        <n v="5700000"/>
        <n v="6000000"/>
        <n v="6300000"/>
        <n v="6600000"/>
        <n v="6900000"/>
        <n v="7200000"/>
        <n v="7500000"/>
      </sharedItems>
    </cacheField>
    <cacheField name="Bonificación" numFmtId="166">
      <sharedItems containsSemiMixedTypes="0" containsString="0" containsNumber="1" containsInteger="1" minValue="150000" maxValue="1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SO" refreshedDate="45708.864231828702" createdVersion="6" refreshedVersion="6" minRefreshableVersion="3" recordCount="22" xr:uid="{52DC8310-CE9B-403F-B24A-5116758C86F4}">
  <cacheSource type="worksheet">
    <worksheetSource ref="A6:M28" sheet="Ejercicios 07"/>
  </cacheSource>
  <cacheFields count="13">
    <cacheField name="Código" numFmtId="0">
      <sharedItems/>
    </cacheField>
    <cacheField name="1er. Apellido" numFmtId="0">
      <sharedItems/>
    </cacheField>
    <cacheField name="2do. Apellido" numFmtId="0">
      <sharedItems/>
    </cacheField>
    <cacheField name="Nombres" numFmtId="0">
      <sharedItems/>
    </cacheField>
    <cacheField name="Sexo" numFmtId="0">
      <sharedItems/>
    </cacheField>
    <cacheField name="F. Nacimiento" numFmtId="14">
      <sharedItems containsSemiMixedTypes="0" containsNonDate="0" containsDate="1" containsString="0" minDate="1980-02-15T00:00:00" maxDate="1984-10-25T00:00:00"/>
    </cacheField>
    <cacheField name="Estado Civil" numFmtId="14">
      <sharedItems/>
    </cacheField>
    <cacheField name="Hijos" numFmtId="0">
      <sharedItems containsSemiMixedTypes="0" containsString="0" containsNumber="1" containsInteger="1" minValue="0" maxValue="6"/>
    </cacheField>
    <cacheField name="Departamento" numFmtId="0">
      <sharedItems count="5">
        <s v="Administración"/>
        <s v="Logística"/>
        <s v="Recursos Humanos"/>
        <s v="Marketing"/>
        <s v="Contabilidad"/>
      </sharedItems>
    </cacheField>
    <cacheField name="Sucursal" numFmtId="0">
      <sharedItems count="4">
        <s v="Medellín"/>
        <s v="Bogota"/>
        <s v="Manizales"/>
        <s v="Cartagena"/>
      </sharedItems>
    </cacheField>
    <cacheField name="Ingreso" numFmtId="14">
      <sharedItems containsNonDate="0" containsDate="1" containsString="0" containsBlank="1" minDate="2000-01-19T00:00:00" maxDate="2017-11-26T00:00:00"/>
    </cacheField>
    <cacheField name="Sueldo" numFmtId="166">
      <sharedItems containsSemiMixedTypes="0" containsString="0" containsNumber="1" containsInteger="1" minValue="1200000" maxValue="7500000"/>
    </cacheField>
    <cacheField name="Bonificación" numFmtId="166">
      <sharedItems containsSemiMixedTypes="0" containsString="0" containsNumber="1" containsInteger="1" minValue="150000" maxValue="1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GE-OAN94"/>
    <x v="0"/>
    <s v="Sanchez"/>
    <s v="Milton Eugenio"/>
    <d v="1981-10-31T00:00:00"/>
    <x v="0"/>
    <x v="0"/>
    <d v="2000-01-19T00:00:00"/>
    <n v="1200000"/>
    <n v="150000"/>
  </r>
  <r>
    <s v="SE-OEC57"/>
    <x v="1"/>
    <s v="Recuero"/>
    <s v="Carlos Humberto"/>
    <d v="1982-08-30T00:00:00"/>
    <x v="0"/>
    <x v="1"/>
    <d v="2009-10-11T00:00:00"/>
    <n v="1500000"/>
    <n v="200000"/>
  </r>
  <r>
    <s v="GE-SAR51"/>
    <x v="2"/>
    <s v="Martinez"/>
    <s v="Luis"/>
    <d v="1981-04-14T00:00:00"/>
    <x v="1"/>
    <x v="1"/>
    <m/>
    <n v="1800000"/>
    <n v="250000"/>
  </r>
  <r>
    <s v="SU-AHI98"/>
    <x v="3"/>
    <s v="Chirelli"/>
    <s v="Cecilia"/>
    <d v="1984-06-30T00:00:00"/>
    <x v="2"/>
    <x v="2"/>
    <d v="2008-07-16T00:00:00"/>
    <n v="2100000"/>
    <n v="300000"/>
  </r>
  <r>
    <s v="ED-AIG66"/>
    <x v="4"/>
    <s v="Vignola"/>
    <s v="Maria Fernanda"/>
    <d v="1983-12-27T00:00:00"/>
    <x v="3"/>
    <x v="3"/>
    <d v="2011-05-08T00:00:00"/>
    <n v="2400000"/>
    <n v="350000"/>
  </r>
  <r>
    <s v="ED-SEJ97"/>
    <x v="5"/>
    <s v="Tejera"/>
    <s v="Jorge Andres"/>
    <d v="1984-05-24T00:00:00"/>
    <x v="1"/>
    <x v="1"/>
    <m/>
    <n v="2700000"/>
    <n v="400000"/>
  </r>
  <r>
    <s v="ED-SAC88"/>
    <x v="6"/>
    <s v="Machado"/>
    <s v="Elias Moises"/>
    <d v="1984-06-15T00:00:00"/>
    <x v="4"/>
    <x v="1"/>
    <d v="2010-01-22T00:00:00"/>
    <n v="3000000"/>
    <n v="450000"/>
  </r>
  <r>
    <s v="DI-LER98"/>
    <x v="7"/>
    <s v="Perdomo"/>
    <s v="Miguel Angel"/>
    <d v="1982-02-16T00:00:00"/>
    <x v="1"/>
    <x v="0"/>
    <d v="2017-11-25T00:00:00"/>
    <n v="3300000"/>
    <n v="500000"/>
  </r>
  <r>
    <s v="ED-OAZ93"/>
    <x v="8"/>
    <s v="Lazzo"/>
    <s v="Eduardo"/>
    <d v="1981-04-15T00:00:00"/>
    <x v="4"/>
    <x v="1"/>
    <d v="2011-07-31T00:00:00"/>
    <n v="3600000"/>
    <n v="550000"/>
  </r>
  <r>
    <s v="JU-EUT49"/>
    <x v="9"/>
    <s v="Cutinella"/>
    <s v="Eduardo Jorge"/>
    <d v="1984-10-24T00:00:00"/>
    <x v="1"/>
    <x v="2"/>
    <m/>
    <n v="3900000"/>
    <n v="600000"/>
  </r>
  <r>
    <s v="ED-OOC60"/>
    <x v="10"/>
    <s v="Rocha"/>
    <s v="Zosimo"/>
    <d v="1980-04-25T00:00:00"/>
    <x v="4"/>
    <x v="1"/>
    <d v="2003-01-25T00:00:00"/>
    <n v="4200000"/>
    <n v="650000"/>
  </r>
  <r>
    <s v="MI-EON29"/>
    <x v="11"/>
    <s v="Poniachjk"/>
    <s v="Amavira Haydee"/>
    <d v="1983-10-05T00:00:00"/>
    <x v="1"/>
    <x v="2"/>
    <m/>
    <n v="4500000"/>
    <n v="700000"/>
  </r>
  <r>
    <s v="DI-AOR46"/>
    <x v="12"/>
    <s v="Moreira"/>
    <s v="Ana"/>
    <d v="1983-06-13T00:00:00"/>
    <x v="0"/>
    <x v="3"/>
    <d v="2004-11-02T00:00:00"/>
    <n v="4800000"/>
    <n v="750000"/>
  </r>
  <r>
    <s v="MI-RLB28"/>
    <x v="13"/>
    <s v="Albert"/>
    <s v="Victor"/>
    <d v="1984-08-05T00:00:00"/>
    <x v="3"/>
    <x v="0"/>
    <d v="2007-03-15T00:00:00"/>
    <n v="5100000"/>
    <n v="800000"/>
  </r>
  <r>
    <s v="JU-OSB17"/>
    <x v="14"/>
    <s v="Isbarbo"/>
    <s v="Carlos Valerio"/>
    <d v="1980-05-21T00:00:00"/>
    <x v="4"/>
    <x v="3"/>
    <d v="2005-05-05T00:00:00"/>
    <n v="5400000"/>
    <n v="850000"/>
  </r>
  <r>
    <s v="ED-A85"/>
    <x v="15"/>
    <s v=""/>
    <s v="Blanca Mariela"/>
    <d v="1980-09-21T00:00:00"/>
    <x v="4"/>
    <x v="2"/>
    <d v="2005-11-21T00:00:00"/>
    <n v="5700000"/>
    <n v="900000"/>
  </r>
  <r>
    <s v="ED-OAS81"/>
    <x v="16"/>
    <s v="Nasta"/>
    <s v="Hugo"/>
    <d v="1980-02-15T00:00:00"/>
    <x v="0"/>
    <x v="3"/>
    <m/>
    <n v="6000000"/>
    <n v="950000"/>
  </r>
  <r>
    <s v="DI-DER50"/>
    <x v="17"/>
    <s v="Perez"/>
    <s v="Diego Eward"/>
    <d v="1981-06-25T00:00:00"/>
    <x v="1"/>
    <x v="3"/>
    <d v="2004-12-17T00:00:00"/>
    <n v="6300000"/>
    <n v="1000000"/>
  </r>
  <r>
    <s v="JU-OEN54"/>
    <x v="18"/>
    <s v="Benitez"/>
    <s v="Fernando Augusto"/>
    <d v="1981-05-22T00:00:00"/>
    <x v="1"/>
    <x v="3"/>
    <d v="2004-03-04T00:00:00"/>
    <n v="6600000"/>
    <n v="1050000"/>
  </r>
  <r>
    <s v="MI-OST29"/>
    <x v="19"/>
    <s v="Estefan"/>
    <s v="Carlos Mario"/>
    <d v="1980-03-18T00:00:00"/>
    <x v="2"/>
    <x v="0"/>
    <d v="2010-06-29T00:00:00"/>
    <n v="6900000"/>
    <n v="1100000"/>
  </r>
  <r>
    <s v="JU-NON42"/>
    <x v="20"/>
    <s v="Montaldo"/>
    <s v="Allen"/>
    <d v="1984-06-08T00:00:00"/>
    <x v="0"/>
    <x v="2"/>
    <d v="2016-05-17T00:00:00"/>
    <n v="7200000"/>
    <n v="1150000"/>
  </r>
  <r>
    <s v="FI-AAB54"/>
    <x v="21"/>
    <s v="Cabaña"/>
    <s v="Lucía María"/>
    <d v="1981-11-29T00:00:00"/>
    <x v="4"/>
    <x v="3"/>
    <d v="2009-04-14T00:00:00"/>
    <n v="7500000"/>
    <n v="1200000"/>
  </r>
  <r>
    <s v="FI-AAB55"/>
    <x v="21"/>
    <s v="Cabaña"/>
    <s v="Lucía María"/>
    <d v="1981-11-30T00:00:00"/>
    <x v="4"/>
    <x v="3"/>
    <d v="2009-04-15T00:00:00"/>
    <n v="7500000"/>
    <n v="1200000"/>
  </r>
  <r>
    <s v="FI-AAB56"/>
    <x v="21"/>
    <s v="Cabaña"/>
    <s v="Lucía María"/>
    <d v="1981-12-01T00:00:00"/>
    <x v="4"/>
    <x v="3"/>
    <d v="2009-04-16T00:00:00"/>
    <n v="7500000"/>
    <n v="1200000"/>
  </r>
  <r>
    <s v="FI-AAB57"/>
    <x v="21"/>
    <s v="Cabaña"/>
    <s v="Lucía María"/>
    <d v="1981-12-02T00:00:00"/>
    <x v="4"/>
    <x v="3"/>
    <d v="2009-04-17T00:00:00"/>
    <n v="7500000"/>
    <n v="1200000"/>
  </r>
  <r>
    <s v="FI-AAB58"/>
    <x v="21"/>
    <s v="Cabaña"/>
    <s v="Lucía María"/>
    <d v="1981-12-03T00:00:00"/>
    <x v="4"/>
    <x v="3"/>
    <d v="2009-04-18T00:00:00"/>
    <n v="7500000"/>
    <n v="1200000"/>
  </r>
  <r>
    <s v="FI-AAB59"/>
    <x v="21"/>
    <s v="Cabaña"/>
    <s v="Lucía María"/>
    <d v="1981-12-04T00:00:00"/>
    <x v="4"/>
    <x v="3"/>
    <d v="2009-04-19T00:00:00"/>
    <n v="7500000"/>
    <n v="120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GE-OAN94"/>
    <s v="Curci"/>
    <s v="Sanchez"/>
    <s v="Milton Eugenio"/>
    <d v="1981-10-31T00:00:00"/>
    <x v="0"/>
    <x v="0"/>
    <d v="2000-01-19T00:00:00"/>
    <n v="1200000"/>
    <n v="150000"/>
  </r>
  <r>
    <s v="SE-OEC57"/>
    <s v="Zarauz"/>
    <s v="Recuero"/>
    <s v="Carlos Humberto"/>
    <d v="1982-08-30T00:00:00"/>
    <x v="0"/>
    <x v="1"/>
    <d v="2009-10-11T00:00:00"/>
    <n v="1500000"/>
    <n v="200000"/>
  </r>
  <r>
    <s v="GE-SAR51"/>
    <s v="Areosa"/>
    <s v="Martinez"/>
    <s v="Luis"/>
    <d v="1981-04-14T00:00:00"/>
    <x v="1"/>
    <x v="1"/>
    <m/>
    <n v="1800000"/>
    <n v="250000"/>
  </r>
  <r>
    <s v="SU-AHI98"/>
    <s v="Carresse"/>
    <s v="Chirelli"/>
    <s v="Cecilia"/>
    <d v="1984-06-30T00:00:00"/>
    <x v="2"/>
    <x v="2"/>
    <d v="2008-07-16T00:00:00"/>
    <n v="2100000"/>
    <n v="300000"/>
  </r>
  <r>
    <s v="ED-AIG66"/>
    <s v="Coustard"/>
    <s v="Vignola"/>
    <s v="Maria Fernanda"/>
    <d v="1983-12-27T00:00:00"/>
    <x v="3"/>
    <x v="3"/>
    <d v="2011-05-08T00:00:00"/>
    <n v="2400000"/>
    <n v="350000"/>
  </r>
  <r>
    <s v="ED-SEJ97"/>
    <s v="Alvez"/>
    <s v="Tejera"/>
    <s v="Jorge Andres"/>
    <d v="1984-05-24T00:00:00"/>
    <x v="1"/>
    <x v="1"/>
    <m/>
    <n v="2700000"/>
    <n v="400000"/>
  </r>
  <r>
    <s v="ED-SAC88"/>
    <s v="Lopez"/>
    <s v="Machado"/>
    <s v="Elias Moises"/>
    <d v="1984-06-15T00:00:00"/>
    <x v="4"/>
    <x v="1"/>
    <d v="2010-01-22T00:00:00"/>
    <n v="3000000"/>
    <n v="450000"/>
  </r>
  <r>
    <s v="DI-LER98"/>
    <s v="Minola"/>
    <s v="Perdomo"/>
    <s v="Miguel Angel"/>
    <d v="1982-02-16T00:00:00"/>
    <x v="1"/>
    <x v="0"/>
    <d v="2017-11-25T00:00:00"/>
    <n v="3300000"/>
    <n v="500000"/>
  </r>
  <r>
    <s v="ED-OAZ93"/>
    <s v="Rovira"/>
    <s v="Lazzo"/>
    <s v="Eduardo"/>
    <d v="1981-04-15T00:00:00"/>
    <x v="4"/>
    <x v="1"/>
    <d v="2011-07-31T00:00:00"/>
    <n v="3600000"/>
    <n v="550000"/>
  </r>
  <r>
    <s v="JU-EUT49"/>
    <s v="Olivera"/>
    <s v="Cutinella"/>
    <s v="Eduardo Jorge"/>
    <d v="1984-10-24T00:00:00"/>
    <x v="1"/>
    <x v="2"/>
    <m/>
    <n v="3900000"/>
    <n v="600000"/>
  </r>
  <r>
    <s v="ED-OOC60"/>
    <s v="Varela"/>
    <s v="Rocha"/>
    <s v="Zosimo"/>
    <d v="1980-04-25T00:00:00"/>
    <x v="4"/>
    <x v="1"/>
    <d v="2003-01-25T00:00:00"/>
    <n v="4200000"/>
    <n v="650000"/>
  </r>
  <r>
    <s v="MI-EON29"/>
    <s v="Balcarcel"/>
    <s v="Poniachjk"/>
    <s v="Amavira Haydee"/>
    <d v="1983-10-05T00:00:00"/>
    <x v="1"/>
    <x v="2"/>
    <m/>
    <n v="4500000"/>
    <n v="700000"/>
  </r>
  <r>
    <s v="DI-AOR46"/>
    <s v="Dotti"/>
    <s v="Moreira"/>
    <s v="Ana"/>
    <d v="1983-06-13T00:00:00"/>
    <x v="0"/>
    <x v="3"/>
    <d v="2004-11-02T00:00:00"/>
    <n v="4800000"/>
    <n v="750000"/>
  </r>
  <r>
    <s v="MI-RLB28"/>
    <s v="De Oliveira"/>
    <s v="Albert"/>
    <s v="Victor"/>
    <d v="1984-08-05T00:00:00"/>
    <x v="3"/>
    <x v="0"/>
    <d v="2007-03-15T00:00:00"/>
    <n v="5100000"/>
    <n v="800000"/>
  </r>
  <r>
    <s v="JU-OSB17"/>
    <s v="De La Iglesia"/>
    <s v="Isbarbo"/>
    <s v="Carlos Valerio"/>
    <d v="1980-05-21T00:00:00"/>
    <x v="4"/>
    <x v="3"/>
    <d v="2005-05-05T00:00:00"/>
    <n v="5400000"/>
    <n v="850000"/>
  </r>
  <r>
    <s v="ED-A85"/>
    <s v="Motta"/>
    <s v=""/>
    <s v="Blanca Mariela"/>
    <d v="1980-09-21T00:00:00"/>
    <x v="4"/>
    <x v="2"/>
    <d v="2005-11-21T00:00:00"/>
    <n v="5700000"/>
    <n v="900000"/>
  </r>
  <r>
    <s v="ED-OAS81"/>
    <s v="Pinheiro"/>
    <s v="Nasta"/>
    <s v="Hugo"/>
    <d v="1980-02-15T00:00:00"/>
    <x v="0"/>
    <x v="3"/>
    <m/>
    <n v="6000000"/>
    <n v="950000"/>
  </r>
  <r>
    <s v="DI-DER50"/>
    <s v="Dominguez"/>
    <s v="Perez"/>
    <s v="Diego Eward"/>
    <d v="1981-06-25T00:00:00"/>
    <x v="1"/>
    <x v="3"/>
    <d v="2004-12-17T00:00:00"/>
    <n v="6300000"/>
    <n v="1000000"/>
  </r>
  <r>
    <s v="JU-OEN54"/>
    <s v="Ferreira"/>
    <s v="Benitez"/>
    <s v="Fernando Augusto"/>
    <d v="1981-05-22T00:00:00"/>
    <x v="1"/>
    <x v="3"/>
    <d v="2004-03-04T00:00:00"/>
    <n v="6600000"/>
    <n v="1050000"/>
  </r>
  <r>
    <s v="MI-OST29"/>
    <s v="Reyes"/>
    <s v="Estefan"/>
    <s v="Carlos Mario"/>
    <d v="1980-03-18T00:00:00"/>
    <x v="2"/>
    <x v="0"/>
    <d v="2010-06-29T00:00:00"/>
    <n v="6900000"/>
    <n v="1100000"/>
  </r>
  <r>
    <s v="JU-NON42"/>
    <s v="Ibarra"/>
    <s v="Montaldo"/>
    <s v="Allen"/>
    <d v="1984-06-08T00:00:00"/>
    <x v="0"/>
    <x v="2"/>
    <d v="2016-05-17T00:00:00"/>
    <n v="7200000"/>
    <n v="1150000"/>
  </r>
  <r>
    <s v="FI-AAB54"/>
    <s v="Sanguinetti"/>
    <s v="Cabaña"/>
    <s v="Lucía María"/>
    <d v="1981-11-29T00:00:00"/>
    <x v="4"/>
    <x v="3"/>
    <d v="2009-04-14T00:00:00"/>
    <n v="7500000"/>
    <n v="1200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GE-OAN94"/>
    <s v="Curci"/>
    <s v="Sanchez"/>
    <s v="Milton Eugenio"/>
    <d v="1981-10-31T00:00:00"/>
    <s v="Administración"/>
    <x v="0"/>
    <d v="2000-01-19T00:00:00"/>
    <x v="0"/>
    <n v="150000"/>
  </r>
  <r>
    <s v="SE-OEC57"/>
    <s v="Zarauz"/>
    <s v="Recuero"/>
    <s v="Carlos Humberto"/>
    <d v="1982-08-30T00:00:00"/>
    <s v="Administración"/>
    <x v="1"/>
    <d v="2009-10-11T00:00:00"/>
    <x v="1"/>
    <n v="200000"/>
  </r>
  <r>
    <s v="GE-SAR51"/>
    <s v="Areosa"/>
    <s v="Martinez"/>
    <s v="Luis"/>
    <d v="1981-04-14T00:00:00"/>
    <s v="Logística"/>
    <x v="1"/>
    <m/>
    <x v="2"/>
    <n v="250000"/>
  </r>
  <r>
    <s v="SU-AHI98"/>
    <s v="Carresse"/>
    <s v="Chirelli"/>
    <s v="Cecilia"/>
    <d v="1984-06-30T00:00:00"/>
    <s v="Recursos Humanos"/>
    <x v="2"/>
    <d v="2008-07-16T00:00:00"/>
    <x v="3"/>
    <n v="300000"/>
  </r>
  <r>
    <s v="ED-AIG66"/>
    <s v="Coustard"/>
    <s v="Vignola"/>
    <s v="Maria Fernanda"/>
    <d v="1983-12-27T00:00:00"/>
    <s v="Marketing"/>
    <x v="3"/>
    <d v="2011-05-08T00:00:00"/>
    <x v="4"/>
    <n v="350000"/>
  </r>
  <r>
    <s v="ED-SEJ97"/>
    <s v="Alvez"/>
    <s v="Tejera"/>
    <s v="Jorge Andres"/>
    <d v="1984-05-24T00:00:00"/>
    <s v="Logística"/>
    <x v="1"/>
    <m/>
    <x v="5"/>
    <n v="400000"/>
  </r>
  <r>
    <s v="ED-SAC88"/>
    <s v="Lopez"/>
    <s v="Machado"/>
    <s v="Elias Moises"/>
    <d v="1984-06-15T00:00:00"/>
    <s v="Contabilidad"/>
    <x v="1"/>
    <d v="2010-01-22T00:00:00"/>
    <x v="6"/>
    <n v="450000"/>
  </r>
  <r>
    <s v="DI-LER98"/>
    <s v="Minola"/>
    <s v="Perdomo"/>
    <s v="Miguel Angel"/>
    <d v="1982-02-16T00:00:00"/>
    <s v="Logística"/>
    <x v="0"/>
    <d v="2017-11-25T00:00:00"/>
    <x v="7"/>
    <n v="500000"/>
  </r>
  <r>
    <s v="ED-OAZ93"/>
    <s v="Rovira"/>
    <s v="Lazzo"/>
    <s v="Eduardo"/>
    <d v="1981-04-15T00:00:00"/>
    <s v="Contabilidad"/>
    <x v="1"/>
    <d v="2011-07-31T00:00:00"/>
    <x v="8"/>
    <n v="550000"/>
  </r>
  <r>
    <s v="JU-EUT49"/>
    <s v="Olivera"/>
    <s v="Cutinella"/>
    <s v="Eduardo Jorge"/>
    <d v="1984-10-24T00:00:00"/>
    <s v="Logística"/>
    <x v="2"/>
    <m/>
    <x v="9"/>
    <n v="600000"/>
  </r>
  <r>
    <s v="ED-OOC60"/>
    <s v="Varela"/>
    <s v="Rocha"/>
    <s v="Zosimo"/>
    <d v="1980-04-25T00:00:00"/>
    <s v="Contabilidad"/>
    <x v="1"/>
    <d v="2003-01-25T00:00:00"/>
    <x v="10"/>
    <n v="650000"/>
  </r>
  <r>
    <s v="MI-EON29"/>
    <s v="Balcarcel"/>
    <s v="Poniachjk"/>
    <s v="Amavira Haydee"/>
    <d v="1983-10-05T00:00:00"/>
    <s v="Logística"/>
    <x v="2"/>
    <m/>
    <x v="11"/>
    <n v="700000"/>
  </r>
  <r>
    <s v="DI-AOR46"/>
    <s v="Dotti"/>
    <s v="Moreira"/>
    <s v="Ana"/>
    <d v="1983-06-13T00:00:00"/>
    <s v="Administración"/>
    <x v="3"/>
    <d v="2004-11-02T00:00:00"/>
    <x v="12"/>
    <n v="750000"/>
  </r>
  <r>
    <s v="MI-RLB28"/>
    <s v="De Oliveira"/>
    <s v="Albert"/>
    <s v="Victor"/>
    <d v="1984-08-05T00:00:00"/>
    <s v="Marketing"/>
    <x v="0"/>
    <d v="2007-03-15T00:00:00"/>
    <x v="13"/>
    <n v="800000"/>
  </r>
  <r>
    <s v="JU-OSB17"/>
    <s v="De La Iglesia"/>
    <s v="Isbarbo"/>
    <s v="Carlos Valerio"/>
    <d v="1980-05-21T00:00:00"/>
    <s v="Contabilidad"/>
    <x v="3"/>
    <d v="2005-05-05T00:00:00"/>
    <x v="14"/>
    <n v="850000"/>
  </r>
  <r>
    <s v="ED-A85"/>
    <s v="Motta"/>
    <s v=""/>
    <s v="Blanca Mariela"/>
    <d v="1980-09-21T00:00:00"/>
    <s v="Contabilidad"/>
    <x v="2"/>
    <d v="2005-11-21T00:00:00"/>
    <x v="15"/>
    <n v="900000"/>
  </r>
  <r>
    <s v="ED-OAS81"/>
    <s v="Pinheiro"/>
    <s v="Nasta"/>
    <s v="Hugo"/>
    <d v="1980-02-15T00:00:00"/>
    <s v="Administración"/>
    <x v="3"/>
    <m/>
    <x v="16"/>
    <n v="950000"/>
  </r>
  <r>
    <s v="DI-DER50"/>
    <s v="Dominguez"/>
    <s v="Perez"/>
    <s v="Diego Eward"/>
    <d v="1981-06-25T00:00:00"/>
    <s v="Logística"/>
    <x v="3"/>
    <d v="2004-12-17T00:00:00"/>
    <x v="17"/>
    <n v="1000000"/>
  </r>
  <r>
    <s v="JU-OEN54"/>
    <s v="Ferreira"/>
    <s v="Benitez"/>
    <s v="Fernando Augusto"/>
    <d v="1981-05-22T00:00:00"/>
    <s v="Logística"/>
    <x v="3"/>
    <d v="2004-03-04T00:00:00"/>
    <x v="18"/>
    <n v="1050000"/>
  </r>
  <r>
    <s v="MI-OST29"/>
    <s v="Reyes"/>
    <s v="Estefan"/>
    <s v="Carlos Mario"/>
    <d v="1980-03-18T00:00:00"/>
    <s v="Recursos Humanos"/>
    <x v="0"/>
    <d v="2010-06-29T00:00:00"/>
    <x v="19"/>
    <n v="1100000"/>
  </r>
  <r>
    <s v="JU-NON42"/>
    <s v="Ibarra"/>
    <s v="Montaldo"/>
    <s v="Allen"/>
    <d v="1984-06-08T00:00:00"/>
    <s v="Administración"/>
    <x v="2"/>
    <d v="2016-05-17T00:00:00"/>
    <x v="20"/>
    <n v="1150000"/>
  </r>
  <r>
    <s v="FI-AAB54"/>
    <s v="Sanguinetti"/>
    <s v="Cabaña"/>
    <s v="Lucía María"/>
    <d v="1981-11-29T00:00:00"/>
    <s v="Contabilidad"/>
    <x v="3"/>
    <d v="2009-04-14T00:00:00"/>
    <x v="21"/>
    <n v="1200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GE-OAN94"/>
    <s v="Curci"/>
    <s v="Sanchez"/>
    <s v="Milton Eugenio"/>
    <s v="M"/>
    <d v="1981-10-31T00:00:00"/>
    <x v="0"/>
    <x v="0"/>
    <s v="Administración"/>
    <x v="0"/>
    <d v="2000-01-19T00:00:00"/>
    <n v="1200000"/>
    <n v="150000"/>
  </r>
  <r>
    <s v="SE-OEC57"/>
    <s v="Zarauz"/>
    <s v="Recuero"/>
    <s v="Carlos Humberto"/>
    <s v="M"/>
    <d v="1982-08-30T00:00:00"/>
    <x v="0"/>
    <x v="1"/>
    <s v="Administración"/>
    <x v="1"/>
    <d v="2009-10-11T00:00:00"/>
    <n v="1500000"/>
    <n v="200000"/>
  </r>
  <r>
    <s v="GE-SAR51"/>
    <s v="Areosa"/>
    <s v="Martinez"/>
    <s v="Luis"/>
    <s v="M"/>
    <d v="1981-04-14T00:00:00"/>
    <x v="0"/>
    <x v="2"/>
    <s v="Logística"/>
    <x v="1"/>
    <m/>
    <n v="1800000"/>
    <n v="250000"/>
  </r>
  <r>
    <s v="SU-AHI98"/>
    <s v="Carresse"/>
    <s v="Chirelli"/>
    <s v="Cecilia"/>
    <s v="F"/>
    <d v="1984-06-30T00:00:00"/>
    <x v="1"/>
    <x v="3"/>
    <s v="Recursos Humanos"/>
    <x v="2"/>
    <d v="2008-07-16T00:00:00"/>
    <n v="2100000"/>
    <n v="300000"/>
  </r>
  <r>
    <s v="ED-AIG66"/>
    <s v="Coustard"/>
    <s v="Vignola"/>
    <s v="Maria Fernanda"/>
    <s v="F"/>
    <d v="1983-12-27T00:00:00"/>
    <x v="2"/>
    <x v="0"/>
    <s v="Marketing"/>
    <x v="3"/>
    <d v="2011-05-08T00:00:00"/>
    <n v="2400000"/>
    <n v="350000"/>
  </r>
  <r>
    <s v="ED-SEJ97"/>
    <s v="Alvez"/>
    <s v="Tejera"/>
    <s v="Jorge Andres"/>
    <s v="M"/>
    <d v="1984-05-24T00:00:00"/>
    <x v="0"/>
    <x v="4"/>
    <s v="Logística"/>
    <x v="1"/>
    <m/>
    <n v="2700000"/>
    <n v="400000"/>
  </r>
  <r>
    <s v="ED-SAC88"/>
    <s v="Lopez"/>
    <s v="Machado"/>
    <s v="Elias Moises"/>
    <s v="M"/>
    <d v="1984-06-15T00:00:00"/>
    <x v="2"/>
    <x v="5"/>
    <s v="Contabilidad"/>
    <x v="1"/>
    <d v="2010-01-22T00:00:00"/>
    <n v="3000000"/>
    <n v="450000"/>
  </r>
  <r>
    <s v="DI-LER98"/>
    <s v="Minola"/>
    <s v="Perdomo"/>
    <s v="Miguel Angel"/>
    <s v="M"/>
    <d v="1982-02-16T00:00:00"/>
    <x v="1"/>
    <x v="3"/>
    <s v="Logística"/>
    <x v="0"/>
    <d v="2017-11-25T00:00:00"/>
    <n v="3300000"/>
    <n v="500000"/>
  </r>
  <r>
    <s v="ED-OAZ93"/>
    <s v="Rovira"/>
    <s v="Lazzo"/>
    <s v="Eduardo"/>
    <s v="M"/>
    <d v="1981-04-15T00:00:00"/>
    <x v="1"/>
    <x v="4"/>
    <s v="Contabilidad"/>
    <x v="1"/>
    <d v="2011-07-31T00:00:00"/>
    <n v="3600000"/>
    <n v="550000"/>
  </r>
  <r>
    <s v="JU-EUT49"/>
    <s v="Olivera"/>
    <s v="Cutinella"/>
    <s v="Eduardo Jorge"/>
    <s v="M"/>
    <d v="1984-10-24T00:00:00"/>
    <x v="3"/>
    <x v="4"/>
    <s v="Logística"/>
    <x v="2"/>
    <m/>
    <n v="3900000"/>
    <n v="600000"/>
  </r>
  <r>
    <s v="ED-OOC60"/>
    <s v="Varela"/>
    <s v="Rocha"/>
    <s v="Zosimo"/>
    <s v="M"/>
    <d v="1980-04-25T00:00:00"/>
    <x v="3"/>
    <x v="3"/>
    <s v="Contabilidad"/>
    <x v="1"/>
    <d v="2003-01-25T00:00:00"/>
    <n v="4200000"/>
    <n v="650000"/>
  </r>
  <r>
    <s v="MI-EON29"/>
    <s v="Balcarcel"/>
    <s v="Poniachjk"/>
    <s v="Amavira Haydee"/>
    <s v="F"/>
    <d v="1983-10-05T00:00:00"/>
    <x v="3"/>
    <x v="0"/>
    <s v="Logística"/>
    <x v="2"/>
    <m/>
    <n v="4500000"/>
    <n v="700000"/>
  </r>
  <r>
    <s v="DI-AOR46"/>
    <s v="Dotti"/>
    <s v="Moreira"/>
    <s v="Ana"/>
    <s v="F"/>
    <d v="1983-06-13T00:00:00"/>
    <x v="1"/>
    <x v="2"/>
    <s v="Administración"/>
    <x v="3"/>
    <d v="2004-11-02T00:00:00"/>
    <n v="4800000"/>
    <n v="750000"/>
  </r>
  <r>
    <s v="MI-RLB28"/>
    <s v="De Oliveira"/>
    <s v="Albert"/>
    <s v="Victor"/>
    <s v="M"/>
    <d v="1984-08-05T00:00:00"/>
    <x v="2"/>
    <x v="6"/>
    <s v="Marketing"/>
    <x v="0"/>
    <d v="2007-03-15T00:00:00"/>
    <n v="5100000"/>
    <n v="800000"/>
  </r>
  <r>
    <s v="JU-OSB17"/>
    <s v="De La Iglesia"/>
    <s v="Isbarbo"/>
    <s v="Carlos Valerio"/>
    <s v="M"/>
    <d v="1980-05-21T00:00:00"/>
    <x v="1"/>
    <x v="4"/>
    <s v="Contabilidad"/>
    <x v="3"/>
    <d v="2005-05-05T00:00:00"/>
    <n v="5400000"/>
    <n v="850000"/>
  </r>
  <r>
    <s v="ED-A85"/>
    <s v="Motta"/>
    <s v=""/>
    <s v="Blanca Mariela"/>
    <s v="F"/>
    <d v="1980-09-21T00:00:00"/>
    <x v="3"/>
    <x v="0"/>
    <s v="Contabilidad"/>
    <x v="2"/>
    <d v="2005-11-21T00:00:00"/>
    <n v="5700000"/>
    <n v="900000"/>
  </r>
  <r>
    <s v="ED-OAS81"/>
    <s v="Pinheiro"/>
    <s v="Nasta"/>
    <s v="Hugo"/>
    <s v="M"/>
    <d v="1980-02-15T00:00:00"/>
    <x v="0"/>
    <x v="6"/>
    <s v="Administración"/>
    <x v="3"/>
    <m/>
    <n v="6000000"/>
    <n v="950000"/>
  </r>
  <r>
    <s v="DI-DER50"/>
    <s v="Dominguez"/>
    <s v="Perez"/>
    <s v="Diego Eward"/>
    <s v="M"/>
    <d v="1981-06-25T00:00:00"/>
    <x v="2"/>
    <x v="0"/>
    <s v="Logística"/>
    <x v="3"/>
    <d v="2004-12-17T00:00:00"/>
    <n v="6300000"/>
    <n v="1000000"/>
  </r>
  <r>
    <s v="JU-OEN54"/>
    <s v="Ferreira"/>
    <s v="Benitez"/>
    <s v="Fernando Augusto"/>
    <s v="M"/>
    <d v="1981-05-22T00:00:00"/>
    <x v="2"/>
    <x v="1"/>
    <s v="Logística"/>
    <x v="3"/>
    <d v="2004-03-04T00:00:00"/>
    <n v="6600000"/>
    <n v="1050000"/>
  </r>
  <r>
    <s v="MI-OST29"/>
    <s v="Reyes"/>
    <s v="Estefan"/>
    <s v="Carlos Mario"/>
    <s v="M"/>
    <d v="1980-03-18T00:00:00"/>
    <x v="1"/>
    <x v="5"/>
    <s v="Recursos Humanos"/>
    <x v="0"/>
    <d v="2010-06-29T00:00:00"/>
    <n v="6900000"/>
    <n v="1100000"/>
  </r>
  <r>
    <s v="JU-NON42"/>
    <s v="Ibarra"/>
    <s v="Montaldo"/>
    <s v="Allen"/>
    <s v="M"/>
    <d v="1984-06-08T00:00:00"/>
    <x v="1"/>
    <x v="3"/>
    <s v="Administración"/>
    <x v="2"/>
    <d v="2016-05-17T00:00:00"/>
    <n v="7200000"/>
    <n v="1150000"/>
  </r>
  <r>
    <s v="FI-AAB54"/>
    <s v="Sanguinetti"/>
    <s v="Cabaña"/>
    <s v="Lucía María"/>
    <s v="F"/>
    <d v="1981-11-29T00:00:00"/>
    <x v="2"/>
    <x v="2"/>
    <s v="Contabilidad"/>
    <x v="3"/>
    <d v="2009-04-14T00:00:00"/>
    <n v="7500000"/>
    <n v="12000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GE-OAN94"/>
    <s v="Curci"/>
    <s v="Sanchez"/>
    <s v="Milton Eugenio"/>
    <x v="0"/>
    <d v="1981-10-31T00:00:00"/>
    <s v="Viudo"/>
    <x v="0"/>
    <x v="0"/>
    <x v="0"/>
    <d v="2000-01-19T00:00:00"/>
    <n v="1200000"/>
    <n v="150000"/>
  </r>
  <r>
    <s v="SE-OEC57"/>
    <s v="Zarauz"/>
    <s v="Recuero"/>
    <s v="Carlos Humberto"/>
    <x v="0"/>
    <d v="1982-08-30T00:00:00"/>
    <s v="Viudo"/>
    <x v="1"/>
    <x v="0"/>
    <x v="1"/>
    <d v="2009-10-11T00:00:00"/>
    <n v="1500000"/>
    <n v="200000"/>
  </r>
  <r>
    <s v="GE-SAR51"/>
    <s v="Areosa"/>
    <s v="Martinez"/>
    <s v="Luis"/>
    <x v="0"/>
    <d v="1981-04-14T00:00:00"/>
    <s v="Viudo"/>
    <x v="2"/>
    <x v="1"/>
    <x v="1"/>
    <m/>
    <n v="1800000"/>
    <n v="250000"/>
  </r>
  <r>
    <s v="SU-AHI98"/>
    <s v="Carresse"/>
    <s v="Chirelli"/>
    <s v="Cecilia"/>
    <x v="1"/>
    <d v="1984-06-30T00:00:00"/>
    <s v="Soltero"/>
    <x v="3"/>
    <x v="2"/>
    <x v="2"/>
    <d v="2008-07-16T00:00:00"/>
    <n v="2100000"/>
    <n v="300000"/>
  </r>
  <r>
    <s v="ED-AIG66"/>
    <s v="Coustard"/>
    <s v="Vignola"/>
    <s v="Maria Fernanda"/>
    <x v="1"/>
    <d v="1983-12-27T00:00:00"/>
    <s v="Casado"/>
    <x v="0"/>
    <x v="3"/>
    <x v="3"/>
    <d v="2011-05-08T00:00:00"/>
    <n v="2400000"/>
    <n v="350000"/>
  </r>
  <r>
    <s v="ED-SEJ97"/>
    <s v="Alvez"/>
    <s v="Tejera"/>
    <s v="Jorge Andres"/>
    <x v="0"/>
    <d v="1984-05-24T00:00:00"/>
    <s v="Viudo"/>
    <x v="4"/>
    <x v="1"/>
    <x v="1"/>
    <m/>
    <n v="2700000"/>
    <n v="400000"/>
  </r>
  <r>
    <s v="ED-SAC88"/>
    <s v="Lopez"/>
    <s v="Machado"/>
    <s v="Elias Moises"/>
    <x v="0"/>
    <d v="1984-06-15T00:00:00"/>
    <s v="Casado"/>
    <x v="5"/>
    <x v="4"/>
    <x v="1"/>
    <d v="2010-01-22T00:00:00"/>
    <n v="3000000"/>
    <n v="450000"/>
  </r>
  <r>
    <s v="DI-LER98"/>
    <s v="Minola"/>
    <s v="Perdomo"/>
    <s v="Miguel Angel"/>
    <x v="0"/>
    <d v="1982-02-16T00:00:00"/>
    <s v="Soltero"/>
    <x v="3"/>
    <x v="1"/>
    <x v="0"/>
    <d v="2017-11-25T00:00:00"/>
    <n v="3300000"/>
    <n v="500000"/>
  </r>
  <r>
    <s v="ED-OAZ93"/>
    <s v="Rovira"/>
    <s v="Lazzo"/>
    <s v="Eduardo"/>
    <x v="0"/>
    <d v="1981-04-15T00:00:00"/>
    <s v="Soltero"/>
    <x v="4"/>
    <x v="4"/>
    <x v="1"/>
    <d v="2011-07-31T00:00:00"/>
    <n v="3600000"/>
    <n v="550000"/>
  </r>
  <r>
    <s v="JU-EUT49"/>
    <s v="Olivera"/>
    <s v="Cutinella"/>
    <s v="Eduardo Jorge"/>
    <x v="0"/>
    <d v="1984-10-24T00:00:00"/>
    <s v="Divorciado"/>
    <x v="4"/>
    <x v="1"/>
    <x v="2"/>
    <m/>
    <n v="3900000"/>
    <n v="600000"/>
  </r>
  <r>
    <s v="ED-OOC60"/>
    <s v="Varela"/>
    <s v="Rocha"/>
    <s v="Zosimo"/>
    <x v="0"/>
    <d v="1980-04-25T00:00:00"/>
    <s v="Divorciado"/>
    <x v="3"/>
    <x v="4"/>
    <x v="1"/>
    <d v="2003-01-25T00:00:00"/>
    <n v="4200000"/>
    <n v="650000"/>
  </r>
  <r>
    <s v="MI-EON29"/>
    <s v="Balcarcel"/>
    <s v="Poniachjk"/>
    <s v="Amavira Haydee"/>
    <x v="1"/>
    <d v="1983-10-05T00:00:00"/>
    <s v="Divorciado"/>
    <x v="0"/>
    <x v="1"/>
    <x v="2"/>
    <m/>
    <n v="4500000"/>
    <n v="700000"/>
  </r>
  <r>
    <s v="DI-AOR46"/>
    <s v="Dotti"/>
    <s v="Moreira"/>
    <s v="Ana"/>
    <x v="1"/>
    <d v="1983-06-13T00:00:00"/>
    <s v="Soltero"/>
    <x v="2"/>
    <x v="0"/>
    <x v="3"/>
    <d v="2004-11-02T00:00:00"/>
    <n v="4800000"/>
    <n v="750000"/>
  </r>
  <r>
    <s v="MI-RLB28"/>
    <s v="De Oliveira"/>
    <s v="Albert"/>
    <s v="Victor"/>
    <x v="0"/>
    <d v="1984-08-05T00:00:00"/>
    <s v="Casado"/>
    <x v="6"/>
    <x v="3"/>
    <x v="0"/>
    <d v="2007-03-15T00:00:00"/>
    <n v="5100000"/>
    <n v="800000"/>
  </r>
  <r>
    <s v="JU-OSB17"/>
    <s v="De La Iglesia"/>
    <s v="Isbarbo"/>
    <s v="Carlos Valerio"/>
    <x v="0"/>
    <d v="1980-05-21T00:00:00"/>
    <s v="Soltero"/>
    <x v="4"/>
    <x v="4"/>
    <x v="3"/>
    <d v="2005-05-05T00:00:00"/>
    <n v="5400000"/>
    <n v="850000"/>
  </r>
  <r>
    <s v="ED-A85"/>
    <s v="Motta"/>
    <s v=""/>
    <s v="Blanca Mariela"/>
    <x v="1"/>
    <d v="1980-09-21T00:00:00"/>
    <s v="Divorciado"/>
    <x v="0"/>
    <x v="4"/>
    <x v="2"/>
    <d v="2005-11-21T00:00:00"/>
    <n v="5700000"/>
    <n v="900000"/>
  </r>
  <r>
    <s v="ED-OAS81"/>
    <s v="Pinheiro"/>
    <s v="Nasta"/>
    <s v="Hugo"/>
    <x v="0"/>
    <d v="1980-02-15T00:00:00"/>
    <s v="Viudo"/>
    <x v="6"/>
    <x v="0"/>
    <x v="3"/>
    <m/>
    <n v="6000000"/>
    <n v="950000"/>
  </r>
  <r>
    <s v="DI-DER50"/>
    <s v="Dominguez"/>
    <s v="Perez"/>
    <s v="Diego Eward"/>
    <x v="0"/>
    <d v="1981-06-25T00:00:00"/>
    <s v="Casado"/>
    <x v="0"/>
    <x v="1"/>
    <x v="3"/>
    <d v="2004-12-17T00:00:00"/>
    <n v="6300000"/>
    <n v="1000000"/>
  </r>
  <r>
    <s v="JU-OEN54"/>
    <s v="Ferreira"/>
    <s v="Benitez"/>
    <s v="Fernando Augusto"/>
    <x v="0"/>
    <d v="1981-05-22T00:00:00"/>
    <s v="Casado"/>
    <x v="1"/>
    <x v="1"/>
    <x v="3"/>
    <d v="2004-03-04T00:00:00"/>
    <n v="6600000"/>
    <n v="1050000"/>
  </r>
  <r>
    <s v="MI-OST29"/>
    <s v="Reyes"/>
    <s v="Estefan"/>
    <s v="Carlos Mario"/>
    <x v="0"/>
    <d v="1980-03-18T00:00:00"/>
    <s v="Soltero"/>
    <x v="5"/>
    <x v="2"/>
    <x v="0"/>
    <d v="2010-06-29T00:00:00"/>
    <n v="6900000"/>
    <n v="1100000"/>
  </r>
  <r>
    <s v="JU-NON42"/>
    <s v="Ibarra"/>
    <s v="Montaldo"/>
    <s v="Allen"/>
    <x v="0"/>
    <d v="1984-06-08T00:00:00"/>
    <s v="Soltero"/>
    <x v="3"/>
    <x v="0"/>
    <x v="2"/>
    <d v="2016-05-17T00:00:00"/>
    <n v="7200000"/>
    <n v="1150000"/>
  </r>
  <r>
    <s v="FI-AAB54"/>
    <s v="Sanguinetti"/>
    <s v="Cabaña"/>
    <s v="Lucía María"/>
    <x v="1"/>
    <d v="1981-11-29T00:00:00"/>
    <s v="Casado"/>
    <x v="2"/>
    <x v="4"/>
    <x v="3"/>
    <d v="2009-04-14T00:00:00"/>
    <n v="7500000"/>
    <n v="12000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GE-OAN94"/>
    <s v="Curci"/>
    <s v="Sanchez"/>
    <s v="Milton Eugenio"/>
    <s v="M"/>
    <d v="1981-10-31T00:00:00"/>
    <s v="Viudo"/>
    <n v="1"/>
    <s v="Administración"/>
    <x v="0"/>
    <d v="2000-01-19T00:00:00"/>
    <x v="0"/>
    <n v="150000"/>
  </r>
  <r>
    <s v="SE-OEC57"/>
    <s v="Zarauz"/>
    <s v="Recuero"/>
    <s v="Carlos Humberto"/>
    <s v="M"/>
    <d v="1982-08-30T00:00:00"/>
    <s v="Viudo"/>
    <n v="2"/>
    <s v="Administración"/>
    <x v="1"/>
    <d v="2009-10-11T00:00:00"/>
    <x v="1"/>
    <n v="200000"/>
  </r>
  <r>
    <s v="GE-SAR51"/>
    <s v="Areosa"/>
    <s v="Martinez"/>
    <s v="Luis"/>
    <s v="M"/>
    <d v="1981-04-14T00:00:00"/>
    <s v="Viudo"/>
    <n v="4"/>
    <s v="Logística"/>
    <x v="1"/>
    <m/>
    <x v="2"/>
    <n v="250000"/>
  </r>
  <r>
    <s v="SU-AHI98"/>
    <s v="Carresse"/>
    <s v="Chirelli"/>
    <s v="Cecilia"/>
    <s v="F"/>
    <d v="1984-06-30T00:00:00"/>
    <s v="Soltero"/>
    <n v="5"/>
    <s v="Recursos Humanos"/>
    <x v="2"/>
    <d v="2008-07-16T00:00:00"/>
    <x v="3"/>
    <n v="300000"/>
  </r>
  <r>
    <s v="ED-AIG66"/>
    <s v="Coustard"/>
    <s v="Vignola"/>
    <s v="Maria Fernanda"/>
    <s v="F"/>
    <d v="1983-12-27T00:00:00"/>
    <s v="Casado"/>
    <n v="1"/>
    <s v="Marketing"/>
    <x v="3"/>
    <d v="2011-05-08T00:00:00"/>
    <x v="4"/>
    <n v="350000"/>
  </r>
  <r>
    <s v="ED-SEJ97"/>
    <s v="Alvez"/>
    <s v="Tejera"/>
    <s v="Jorge Andres"/>
    <s v="M"/>
    <d v="1984-05-24T00:00:00"/>
    <s v="Viudo"/>
    <n v="6"/>
    <s v="Logística"/>
    <x v="1"/>
    <m/>
    <x v="5"/>
    <n v="400000"/>
  </r>
  <r>
    <s v="ED-SAC88"/>
    <s v="Lopez"/>
    <s v="Machado"/>
    <s v="Elias Moises"/>
    <s v="M"/>
    <d v="1984-06-15T00:00:00"/>
    <s v="Casado"/>
    <n v="3"/>
    <s v="Contabilidad"/>
    <x v="1"/>
    <d v="2010-01-22T00:00:00"/>
    <x v="6"/>
    <n v="450000"/>
  </r>
  <r>
    <s v="DI-LER98"/>
    <s v="Minola"/>
    <s v="Perdomo"/>
    <s v="Miguel Angel"/>
    <s v="M"/>
    <d v="1982-02-16T00:00:00"/>
    <s v="Soltero"/>
    <n v="5"/>
    <s v="Logística"/>
    <x v="0"/>
    <d v="2017-11-25T00:00:00"/>
    <x v="7"/>
    <n v="500000"/>
  </r>
  <r>
    <s v="ED-OAZ93"/>
    <s v="Rovira"/>
    <s v="Lazzo"/>
    <s v="Eduardo"/>
    <s v="M"/>
    <d v="1981-04-15T00:00:00"/>
    <s v="Soltero"/>
    <n v="6"/>
    <s v="Contabilidad"/>
    <x v="1"/>
    <d v="2011-07-31T00:00:00"/>
    <x v="8"/>
    <n v="550000"/>
  </r>
  <r>
    <s v="JU-EUT49"/>
    <s v="Olivera"/>
    <s v="Cutinella"/>
    <s v="Eduardo Jorge"/>
    <s v="M"/>
    <d v="1984-10-24T00:00:00"/>
    <s v="Divorciado"/>
    <n v="6"/>
    <s v="Logística"/>
    <x v="2"/>
    <m/>
    <x v="9"/>
    <n v="600000"/>
  </r>
  <r>
    <s v="ED-OOC60"/>
    <s v="Varela"/>
    <s v="Rocha"/>
    <s v="Zosimo"/>
    <s v="M"/>
    <d v="1980-04-25T00:00:00"/>
    <s v="Divorciado"/>
    <n v="5"/>
    <s v="Contabilidad"/>
    <x v="1"/>
    <d v="2003-01-25T00:00:00"/>
    <x v="10"/>
    <n v="650000"/>
  </r>
  <r>
    <s v="MI-EON29"/>
    <s v="Balcarcel"/>
    <s v="Poniachjk"/>
    <s v="Amavira Haydee"/>
    <s v="F"/>
    <d v="1983-10-05T00:00:00"/>
    <s v="Divorciado"/>
    <n v="1"/>
    <s v="Logística"/>
    <x v="2"/>
    <m/>
    <x v="11"/>
    <n v="700000"/>
  </r>
  <r>
    <s v="DI-AOR46"/>
    <s v="Dotti"/>
    <s v="Moreira"/>
    <s v="Ana"/>
    <s v="F"/>
    <d v="1983-06-13T00:00:00"/>
    <s v="Soltero"/>
    <n v="4"/>
    <s v="Administración"/>
    <x v="3"/>
    <d v="2004-11-02T00:00:00"/>
    <x v="12"/>
    <n v="750000"/>
  </r>
  <r>
    <s v="MI-RLB28"/>
    <s v="De Oliveira"/>
    <s v="Albert"/>
    <s v="Victor"/>
    <s v="M"/>
    <d v="1984-08-05T00:00:00"/>
    <s v="Casado"/>
    <n v="0"/>
    <s v="Marketing"/>
    <x v="0"/>
    <d v="2007-03-15T00:00:00"/>
    <x v="13"/>
    <n v="800000"/>
  </r>
  <r>
    <s v="JU-OSB17"/>
    <s v="De La Iglesia"/>
    <s v="Isbarbo"/>
    <s v="Carlos Valerio"/>
    <s v="M"/>
    <d v="1980-05-21T00:00:00"/>
    <s v="Soltero"/>
    <n v="6"/>
    <s v="Contabilidad"/>
    <x v="3"/>
    <d v="2005-05-05T00:00:00"/>
    <x v="14"/>
    <n v="850000"/>
  </r>
  <r>
    <s v="ED-A85"/>
    <s v="Motta"/>
    <s v=""/>
    <s v="Blanca Mariela"/>
    <s v="F"/>
    <d v="1980-09-21T00:00:00"/>
    <s v="Divorciado"/>
    <n v="1"/>
    <s v="Contabilidad"/>
    <x v="2"/>
    <d v="2005-11-21T00:00:00"/>
    <x v="15"/>
    <n v="900000"/>
  </r>
  <r>
    <s v="ED-OAS81"/>
    <s v="Pinheiro"/>
    <s v="Nasta"/>
    <s v="Hugo"/>
    <s v="M"/>
    <d v="1980-02-15T00:00:00"/>
    <s v="Viudo"/>
    <n v="0"/>
    <s v="Administración"/>
    <x v="3"/>
    <m/>
    <x v="16"/>
    <n v="950000"/>
  </r>
  <r>
    <s v="DI-DER50"/>
    <s v="Dominguez"/>
    <s v="Perez"/>
    <s v="Diego Eward"/>
    <s v="M"/>
    <d v="1981-06-25T00:00:00"/>
    <s v="Casado"/>
    <n v="1"/>
    <s v="Logística"/>
    <x v="3"/>
    <d v="2004-12-17T00:00:00"/>
    <x v="17"/>
    <n v="1000000"/>
  </r>
  <r>
    <s v="JU-OEN54"/>
    <s v="Ferreira"/>
    <s v="Benitez"/>
    <s v="Fernando Augusto"/>
    <s v="M"/>
    <d v="1981-05-22T00:00:00"/>
    <s v="Casado"/>
    <n v="2"/>
    <s v="Logística"/>
    <x v="3"/>
    <d v="2004-03-04T00:00:00"/>
    <x v="18"/>
    <n v="1050000"/>
  </r>
  <r>
    <s v="MI-OST29"/>
    <s v="Reyes"/>
    <s v="Estefan"/>
    <s v="Carlos Mario"/>
    <s v="M"/>
    <d v="1980-03-18T00:00:00"/>
    <s v="Soltero"/>
    <n v="3"/>
    <s v="Recursos Humanos"/>
    <x v="0"/>
    <d v="2010-06-29T00:00:00"/>
    <x v="19"/>
    <n v="1100000"/>
  </r>
  <r>
    <s v="JU-NON42"/>
    <s v="Ibarra"/>
    <s v="Montaldo"/>
    <s v="Allen"/>
    <s v="M"/>
    <d v="1984-06-08T00:00:00"/>
    <s v="Soltero"/>
    <n v="5"/>
    <s v="Administración"/>
    <x v="2"/>
    <d v="2016-05-17T00:00:00"/>
    <x v="20"/>
    <n v="1150000"/>
  </r>
  <r>
    <s v="FI-AAB54"/>
    <s v="Sanguinetti"/>
    <s v="Cabaña"/>
    <s v="Lucía María"/>
    <s v="F"/>
    <d v="1981-11-29T00:00:00"/>
    <s v="Casado"/>
    <n v="4"/>
    <s v="Contabilidad"/>
    <x v="3"/>
    <d v="2009-04-14T00:00:00"/>
    <x v="21"/>
    <n v="12000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GE-OAN94"/>
    <s v="Curci"/>
    <s v="Sanchez"/>
    <s v="Milton Eugenio"/>
    <s v="M"/>
    <d v="1981-10-31T00:00:00"/>
    <s v="Viudo"/>
    <n v="1"/>
    <x v="0"/>
    <x v="0"/>
    <d v="2000-01-19T00:00:00"/>
    <n v="1200000"/>
    <n v="150000"/>
  </r>
  <r>
    <s v="SE-OEC57"/>
    <s v="Zarauz"/>
    <s v="Recuero"/>
    <s v="Carlos Humberto"/>
    <s v="M"/>
    <d v="1982-08-30T00:00:00"/>
    <s v="Viudo"/>
    <n v="2"/>
    <x v="0"/>
    <x v="1"/>
    <d v="2009-10-11T00:00:00"/>
    <n v="1500000"/>
    <n v="200000"/>
  </r>
  <r>
    <s v="GE-SAR51"/>
    <s v="Areosa"/>
    <s v="Martinez"/>
    <s v="Luis"/>
    <s v="M"/>
    <d v="1981-04-14T00:00:00"/>
    <s v="Viudo"/>
    <n v="4"/>
    <x v="1"/>
    <x v="1"/>
    <m/>
    <n v="1800000"/>
    <n v="250000"/>
  </r>
  <r>
    <s v="SU-AHI98"/>
    <s v="Carresse"/>
    <s v="Chirelli"/>
    <s v="Cecilia"/>
    <s v="F"/>
    <d v="1984-06-30T00:00:00"/>
    <s v="Soltero"/>
    <n v="5"/>
    <x v="2"/>
    <x v="2"/>
    <d v="2008-07-16T00:00:00"/>
    <n v="2100000"/>
    <n v="300000"/>
  </r>
  <r>
    <s v="ED-AIG66"/>
    <s v="Coustard"/>
    <s v="Vignola"/>
    <s v="Maria Fernanda"/>
    <s v="F"/>
    <d v="1983-12-27T00:00:00"/>
    <s v="Casado"/>
    <n v="1"/>
    <x v="3"/>
    <x v="3"/>
    <d v="2011-05-08T00:00:00"/>
    <n v="2400000"/>
    <n v="350000"/>
  </r>
  <r>
    <s v="ED-SEJ97"/>
    <s v="Alvez"/>
    <s v="Tejera"/>
    <s v="Jorge Andres"/>
    <s v="M"/>
    <d v="1984-05-24T00:00:00"/>
    <s v="Viudo"/>
    <n v="6"/>
    <x v="1"/>
    <x v="1"/>
    <m/>
    <n v="2700000"/>
    <n v="400000"/>
  </r>
  <r>
    <s v="ED-SAC88"/>
    <s v="Lopez"/>
    <s v="Machado"/>
    <s v="Elias Moises"/>
    <s v="M"/>
    <d v="1984-06-15T00:00:00"/>
    <s v="Casado"/>
    <n v="3"/>
    <x v="4"/>
    <x v="1"/>
    <d v="2010-01-22T00:00:00"/>
    <n v="3000000"/>
    <n v="450000"/>
  </r>
  <r>
    <s v="DI-LER98"/>
    <s v="Minola"/>
    <s v="Perdomo"/>
    <s v="Miguel Angel"/>
    <s v="M"/>
    <d v="1982-02-16T00:00:00"/>
    <s v="Soltero"/>
    <n v="5"/>
    <x v="1"/>
    <x v="0"/>
    <d v="2017-11-25T00:00:00"/>
    <n v="3300000"/>
    <n v="500000"/>
  </r>
  <r>
    <s v="ED-OAZ93"/>
    <s v="Rovira"/>
    <s v="Lazzo"/>
    <s v="Eduardo"/>
    <s v="M"/>
    <d v="1981-04-15T00:00:00"/>
    <s v="Soltero"/>
    <n v="6"/>
    <x v="4"/>
    <x v="1"/>
    <d v="2011-07-31T00:00:00"/>
    <n v="3600000"/>
    <n v="550000"/>
  </r>
  <r>
    <s v="JU-EUT49"/>
    <s v="Olivera"/>
    <s v="Cutinella"/>
    <s v="Eduardo Jorge"/>
    <s v="M"/>
    <d v="1984-10-24T00:00:00"/>
    <s v="Divorciado"/>
    <n v="6"/>
    <x v="1"/>
    <x v="2"/>
    <m/>
    <n v="3900000"/>
    <n v="600000"/>
  </r>
  <r>
    <s v="ED-OOC60"/>
    <s v="Varela"/>
    <s v="Rocha"/>
    <s v="Zosimo"/>
    <s v="M"/>
    <d v="1980-04-25T00:00:00"/>
    <s v="Divorciado"/>
    <n v="5"/>
    <x v="4"/>
    <x v="1"/>
    <d v="2003-01-25T00:00:00"/>
    <n v="4200000"/>
    <n v="650000"/>
  </r>
  <r>
    <s v="MI-EON29"/>
    <s v="Balcarcel"/>
    <s v="Poniachjk"/>
    <s v="Amavira Haydee"/>
    <s v="F"/>
    <d v="1983-10-05T00:00:00"/>
    <s v="Divorciado"/>
    <n v="1"/>
    <x v="1"/>
    <x v="2"/>
    <m/>
    <n v="4500000"/>
    <n v="700000"/>
  </r>
  <r>
    <s v="DI-AOR46"/>
    <s v="Dotti"/>
    <s v="Moreira"/>
    <s v="Ana"/>
    <s v="F"/>
    <d v="1983-06-13T00:00:00"/>
    <s v="Soltero"/>
    <n v="4"/>
    <x v="0"/>
    <x v="3"/>
    <d v="2004-11-02T00:00:00"/>
    <n v="4800000"/>
    <n v="750000"/>
  </r>
  <r>
    <s v="MI-RLB28"/>
    <s v="De Oliveira"/>
    <s v="Albert"/>
    <s v="Victor"/>
    <s v="M"/>
    <d v="1984-08-05T00:00:00"/>
    <s v="Casado"/>
    <n v="0"/>
    <x v="3"/>
    <x v="0"/>
    <d v="2007-03-15T00:00:00"/>
    <n v="5100000"/>
    <n v="800000"/>
  </r>
  <r>
    <s v="JU-OSB17"/>
    <s v="De La Iglesia"/>
    <s v="Isbarbo"/>
    <s v="Carlos Valerio"/>
    <s v="M"/>
    <d v="1980-05-21T00:00:00"/>
    <s v="Soltero"/>
    <n v="6"/>
    <x v="4"/>
    <x v="3"/>
    <d v="2005-05-05T00:00:00"/>
    <n v="5400000"/>
    <n v="850000"/>
  </r>
  <r>
    <s v="ED-A85"/>
    <s v="Motta"/>
    <s v=""/>
    <s v="Blanca Mariela"/>
    <s v="F"/>
    <d v="1980-09-21T00:00:00"/>
    <s v="Divorciado"/>
    <n v="1"/>
    <x v="4"/>
    <x v="2"/>
    <d v="2005-11-21T00:00:00"/>
    <n v="5700000"/>
    <n v="900000"/>
  </r>
  <r>
    <s v="ED-OAS81"/>
    <s v="Pinheiro"/>
    <s v="Nasta"/>
    <s v="Hugo"/>
    <s v="M"/>
    <d v="1980-02-15T00:00:00"/>
    <s v="Viudo"/>
    <n v="0"/>
    <x v="0"/>
    <x v="3"/>
    <m/>
    <n v="6000000"/>
    <n v="950000"/>
  </r>
  <r>
    <s v="DI-DER50"/>
    <s v="Dominguez"/>
    <s v="Perez"/>
    <s v="Diego Eward"/>
    <s v="M"/>
    <d v="1981-06-25T00:00:00"/>
    <s v="Casado"/>
    <n v="1"/>
    <x v="1"/>
    <x v="3"/>
    <d v="2004-12-17T00:00:00"/>
    <n v="6300000"/>
    <n v="1000000"/>
  </r>
  <r>
    <s v="JU-OEN54"/>
    <s v="Ferreira"/>
    <s v="Benitez"/>
    <s v="Fernando Augusto"/>
    <s v="M"/>
    <d v="1981-05-22T00:00:00"/>
    <s v="Casado"/>
    <n v="2"/>
    <x v="1"/>
    <x v="3"/>
    <d v="2004-03-04T00:00:00"/>
    <n v="6600000"/>
    <n v="1050000"/>
  </r>
  <r>
    <s v="MI-OST29"/>
    <s v="Reyes"/>
    <s v="Estefan"/>
    <s v="Carlos Mario"/>
    <s v="M"/>
    <d v="1980-03-18T00:00:00"/>
    <s v="Soltero"/>
    <n v="3"/>
    <x v="2"/>
    <x v="0"/>
    <d v="2010-06-29T00:00:00"/>
    <n v="6900000"/>
    <n v="1100000"/>
  </r>
  <r>
    <s v="JU-NON42"/>
    <s v="Ibarra"/>
    <s v="Montaldo"/>
    <s v="Allen"/>
    <s v="M"/>
    <d v="1984-06-08T00:00:00"/>
    <s v="Soltero"/>
    <n v="5"/>
    <x v="0"/>
    <x v="2"/>
    <d v="2016-05-17T00:00:00"/>
    <n v="7200000"/>
    <n v="1150000"/>
  </r>
  <r>
    <s v="FI-AAB54"/>
    <s v="Sanguinetti"/>
    <s v="Cabaña"/>
    <s v="Lucía María"/>
    <s v="F"/>
    <d v="1981-11-29T00:00:00"/>
    <s v="Casado"/>
    <n v="4"/>
    <x v="4"/>
    <x v="3"/>
    <d v="2009-04-14T00:00:00"/>
    <n v="7500000"/>
    <n v="12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C8E6F-EFAA-4EE8-9F92-E679F0967BE8}" name="TablaDinámica2" cacheId="3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ucursales">
  <location ref="A3:B8" firstHeaderRow="1" firstDataRow="1" firstDataCol="1"/>
  <pivotFields count="10">
    <pivotField showAll="0"/>
    <pivotField showAll="0">
      <items count="23">
        <item x="5"/>
        <item x="2"/>
        <item x="11"/>
        <item x="3"/>
        <item x="4"/>
        <item x="0"/>
        <item x="14"/>
        <item x="13"/>
        <item x="17"/>
        <item x="12"/>
        <item x="18"/>
        <item x="20"/>
        <item x="6"/>
        <item x="7"/>
        <item x="15"/>
        <item x="9"/>
        <item x="16"/>
        <item x="19"/>
        <item x="8"/>
        <item x="21"/>
        <item x="10"/>
        <item x="1"/>
        <item t="default"/>
      </items>
    </pivotField>
    <pivotField showAll="0"/>
    <pivotField showAll="0"/>
    <pivotField numFmtId="14" showAll="0"/>
    <pivotField showAll="0">
      <items count="6">
        <item x="0"/>
        <item x="4"/>
        <item x="1"/>
        <item x="3"/>
        <item x="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numFmtId="166" showAll="0"/>
    <pivotField numFmtId="166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Sueldo2" fld="8" baseField="0" baseItem="0"/>
  </dataFields>
  <formats count="9">
    <format dxfId="19">
      <pivotArea collapsedLevelsAreSubtotals="1" fieldPosition="0">
        <references count="1">
          <reference field="6" count="1">
            <x v="0"/>
          </reference>
        </references>
      </pivotArea>
    </format>
    <format dxfId="18">
      <pivotArea collapsedLevelsAreSubtotals="1" fieldPosition="0">
        <references count="1">
          <reference field="6" count="1">
            <x v="1"/>
          </reference>
        </references>
      </pivotArea>
    </format>
    <format dxfId="17">
      <pivotArea grandRow="1" outline="0" collapsedLevelsAreSubtotals="1" fieldPosition="0"/>
    </format>
    <format dxfId="16">
      <pivotArea collapsedLevelsAreSubtotals="1" fieldPosition="0">
        <references count="1">
          <reference field="6" count="1">
            <x v="3"/>
          </reference>
        </references>
      </pivotArea>
    </format>
    <format dxfId="15">
      <pivotArea collapsedLevelsAreSubtotals="1" fieldPosition="0">
        <references count="1">
          <reference field="6" count="1">
            <x v="3"/>
          </reference>
        </references>
      </pivotArea>
    </format>
    <format dxfId="14">
      <pivotArea collapsedLevelsAreSubtotals="1" fieldPosition="0">
        <references count="1">
          <reference field="6" count="1">
            <x v="3"/>
          </reference>
        </references>
      </pivotArea>
    </format>
    <format dxfId="13">
      <pivotArea collapsedLevelsAreSubtotals="1" fieldPosition="0">
        <references count="1">
          <reference field="6" count="1">
            <x v="3"/>
          </reference>
        </references>
      </pivotArea>
    </format>
    <format dxfId="12">
      <pivotArea collapsedLevelsAreSubtotals="1" fieldPosition="0">
        <references count="1">
          <reference field="6" count="1">
            <x v="2"/>
          </reference>
        </references>
      </pivotArea>
    </format>
    <format dxfId="11">
      <pivotArea grandRow="1" outline="0" collapsedLevelsAreSubtotals="1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A8FD0-A7DE-4F22-947B-18AF468E301D}" name="TablaDinámica3" cacheId="4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olHeaderCaption="Departamentos">
  <location ref="L6:R12" firstHeaderRow="1" firstDataRow="2" firstDataCol="1"/>
  <pivotFields count="10">
    <pivotField showAll="0"/>
    <pivotField showAll="0"/>
    <pivotField showAll="0"/>
    <pivotField showAll="0"/>
    <pivotField numFmtId="14" showAll="0"/>
    <pivotField axis="axisCol" showAll="0">
      <items count="6">
        <item x="0"/>
        <item x="4"/>
        <item x="1"/>
        <item x="3"/>
        <item x="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numFmtId="166" showAll="0"/>
    <pivotField dataField="1" numFmtId="166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Bonificación" fld="9" baseField="0" baseItem="0"/>
  </dataFields>
  <formats count="2">
    <format dxfId="10">
      <pivotArea dataOnly="0" fieldPosition="0">
        <references count="1">
          <reference field="6" count="0"/>
        </references>
      </pivotArea>
    </format>
    <format dxfId="9">
      <pivotArea grandRow="1" outline="0" collapsedLevelsAreSubtotals="1" fieldPosition="0"/>
    </format>
  </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8D25D-2700-483F-B319-3C7691C54C08}" name="TablaDinámica5" cacheId="42" applyNumberFormats="0" applyBorderFormats="0" applyFontFormats="0" applyPatternFormats="0" applyAlignmentFormats="0" applyWidthHeightFormats="1" dataCaption="Valores" updatedVersion="6" minRefreshableVersion="3" useAutoFormatting="1" subtotalHiddenItems="1" itemPrintTitles="1" createdVersion="6" indent="0" outline="1" outlineData="1" multipleFieldFilters="0">
  <location ref="A3:B4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a de Sueldo" fld="0" baseField="0" baseItem="0"/>
    <dataField name="Suma de Bonificación" fld="1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jercicios 03!$A$6:$J$28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8188B-CDAF-4D78-8392-2487EF3431E2}" name="TablaDinámica4" cacheId="4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8" firstHeaderRow="1" firstDataRow="1" firstDataCol="1"/>
  <pivotFields count="10">
    <pivotField showAll="0"/>
    <pivotField showAll="0"/>
    <pivotField showAll="0"/>
    <pivotField showAll="0"/>
    <pivotField numFmtId="14"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numFmtId="166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66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Sueldo" fld="8" subtotal="average" baseField="6" baseItem="0"/>
  </dataFields>
  <formats count="5">
    <format dxfId="8">
      <pivotArea type="all" dataOnly="0" outline="0" fieldPosition="0"/>
    </format>
    <format dxfId="7">
      <pivotArea outline="0" collapsedLevelsAreSubtotals="1" fieldPosition="0"/>
    </format>
    <format dxfId="6">
      <pivotArea field="6" type="button" dataOnly="0" labelOnly="1" outline="0" axis="axisRow" fieldPosition="0"/>
    </format>
    <format dxfId="5">
      <pivotArea dataOnly="0" labelOnly="1" fieldPosition="0">
        <references count="1">
          <reference field="6" count="0"/>
        </references>
      </pivotArea>
    </format>
    <format dxfId="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765B5-9336-43AA-B2BF-2B27836ABF07}" name="TablaDinámica7" cacheId="4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ucursal">
  <location ref="A3:B20" firstHeaderRow="1" firstDataRow="1" firstDataCol="1"/>
  <pivotFields count="13">
    <pivotField dataField="1" showAll="0"/>
    <pivotField showAll="0"/>
    <pivotField showAll="0"/>
    <pivotField showAll="0"/>
    <pivotField showAll="0"/>
    <pivotField numFmtId="14" showAll="0"/>
    <pivotField axis="axisRow" showAll="0">
      <items count="5">
        <item x="2"/>
        <item x="3"/>
        <item x="1"/>
        <item x="0"/>
        <item t="default"/>
      </items>
    </pivotField>
    <pivotField showAll="0">
      <items count="8">
        <item x="6"/>
        <item x="0"/>
        <item x="1"/>
        <item x="5"/>
        <item x="2"/>
        <item x="3"/>
        <item x="4"/>
        <item t="default"/>
      </items>
    </pivotField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numFmtId="166" showAll="0"/>
    <pivotField numFmtId="166" showAll="0"/>
  </pivotFields>
  <rowFields count="2">
    <field x="9"/>
    <field x="6"/>
  </rowFields>
  <rowItems count="17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 v="1"/>
    </i>
    <i r="1">
      <x v="2"/>
    </i>
    <i>
      <x v="3"/>
    </i>
    <i r="1">
      <x/>
    </i>
    <i r="1">
      <x v="2"/>
    </i>
    <i r="1">
      <x v="3"/>
    </i>
    <i t="grand">
      <x/>
    </i>
  </rowItems>
  <colItems count="1">
    <i/>
  </colItems>
  <dataFields count="1">
    <dataField name="Cuenta de Códig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FCE6D-20D5-45A9-A0F4-6C21413ED384}" name="TablaDinámica8" cacheId="4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ucursal">
  <location ref="A3:B14" firstHeaderRow="1" firstDataRow="1" firstDataCol="1" rowPageCount="1" colPageCount="1"/>
  <pivotFields count="13">
    <pivotField subtotalTop="0" showAll="0"/>
    <pivotField subtotalTop="0" showAll="0"/>
    <pivotField subtotalTop="0" showAll="0"/>
    <pivotField subtotalTop="0" showAll="0"/>
    <pivotField name="mujeres" axis="axisPage" subtotalTop="0" showAll="0">
      <items count="3">
        <item x="1"/>
        <item x="0"/>
        <item t="default"/>
      </items>
    </pivotField>
    <pivotField numFmtId="14" subtotalTop="0" showAll="0"/>
    <pivotField subtotalTop="0" showAll="0"/>
    <pivotField dataField="1" subtotalTop="0" showAll="0">
      <items count="8">
        <item x="6"/>
        <item x="0"/>
        <item x="1"/>
        <item x="5"/>
        <item x="2"/>
        <item x="3"/>
        <item x="4"/>
        <item t="default"/>
      </items>
    </pivotField>
    <pivotField axis="axisRow" subtotalTop="0" showAll="0">
      <items count="6">
        <item x="0"/>
        <item x="4"/>
        <item x="1"/>
        <item x="3"/>
        <item x="2"/>
        <item t="default"/>
      </items>
    </pivotField>
    <pivotField axis="axisRow" subtotalTop="0" showAll="0">
      <items count="5">
        <item x="1"/>
        <item x="3"/>
        <item x="2"/>
        <item x="0"/>
        <item t="default"/>
      </items>
    </pivotField>
    <pivotField subtotalTop="0" showAll="0"/>
    <pivotField numFmtId="166" subtotalTop="0" showAll="0"/>
    <pivotField numFmtId="166" subtotalTop="0" showAll="0"/>
  </pivotFields>
  <rowFields count="2">
    <field x="9"/>
    <field x="8"/>
  </rowFields>
  <rowItems count="11">
    <i>
      <x v="1"/>
    </i>
    <i r="1">
      <x/>
    </i>
    <i r="1">
      <x v="1"/>
    </i>
    <i r="1">
      <x v="3"/>
    </i>
    <i t="default">
      <x v="1"/>
    </i>
    <i>
      <x v="2"/>
    </i>
    <i r="1">
      <x v="1"/>
    </i>
    <i r="1">
      <x v="2"/>
    </i>
    <i r="1">
      <x v="4"/>
    </i>
    <i t="default">
      <x v="2"/>
    </i>
    <i t="grand">
      <x/>
    </i>
  </rowItems>
  <colItems count="1">
    <i/>
  </colItems>
  <pageFields count="1">
    <pageField fld="4" item="0" hier="-1"/>
  </pageFields>
  <dataFields count="1">
    <dataField name="Promedio de Hijos" fld="7" subtotal="average" baseField="9" baseItem="0" numFmtId="1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6C67B-D2DA-48CA-B674-EFB360BE5176}" name="TablaDinámica9" cacheId="4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8" firstHeaderRow="1" firstDataRow="1" firstDataCol="1"/>
  <pivotFields count="13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numFmtId="166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66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Sueldo" fld="11" showDataAs="percentOfTotal" baseField="9" baseItem="0" numFmtId="10"/>
  </dataFields>
  <formats count="3">
    <format dxfId="2">
      <pivotArea collapsedLevelsAreSubtotals="1" fieldPosition="0">
        <references count="1">
          <reference field="9" count="1">
            <x v="0"/>
          </reference>
        </references>
      </pivotArea>
    </format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FEC2A-D7C6-496D-A7E6-9CA026F213B0}" name="TablaDinámica10" cacheId="4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F10" firstHeaderRow="1" firstDataRow="2" firstDataCol="1"/>
  <pivotFields count="13">
    <pivotField subtotalTop="0" showAll="0"/>
    <pivotField subtotalTop="0" showAll="0"/>
    <pivotField subtotalTop="0" showAll="0"/>
    <pivotField subtotalTop="0" showAll="0"/>
    <pivotField subtotalTop="0" showAll="0"/>
    <pivotField numFmtId="14" subtotalTop="0" showAll="0"/>
    <pivotField subtotalTop="0" showAll="0"/>
    <pivotField subtotalTop="0" showAll="0"/>
    <pivotField axis="axisRow" subtotalTop="0" showAll="0">
      <items count="6">
        <item x="0"/>
        <item x="4"/>
        <item x="1"/>
        <item x="3"/>
        <item x="2"/>
        <item t="default"/>
      </items>
    </pivotField>
    <pivotField axis="axisCol" subtotalTop="0" showAll="0">
      <items count="5">
        <item x="1"/>
        <item x="3"/>
        <item x="2"/>
        <item x="0"/>
        <item t="default"/>
      </items>
    </pivotField>
    <pivotField subtotalTop="0" showAll="0"/>
    <pivotField numFmtId="166" subtotalTop="0" showAll="0"/>
    <pivotField dataField="1" numFmtId="166" subtotalTop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a de Bonificación" fld="12" showDataAs="percentOfTotal" baseField="0" baseItem="1650743666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D9370-D9D5-47D4-9A21-A610B7816EB9}" name="Tabla1" displayName="Tabla1" ref="A1:J6" totalsRowShown="0">
  <autoFilter ref="A1:J6" xr:uid="{35A75C55-C841-4297-803F-A457E3F7018D}"/>
  <tableColumns count="10">
    <tableColumn id="1" xr3:uid="{6E30E2F5-6BBA-4212-A18F-A64040AB32C1}" name="Código"/>
    <tableColumn id="2" xr3:uid="{8A6259AB-E7BD-4C73-9706-33013E6BC634}" name="1er. Apellido"/>
    <tableColumn id="3" xr3:uid="{91A004A6-6362-4B7F-AE7A-E69DDC32D4A9}" name="2do. Apellido"/>
    <tableColumn id="4" xr3:uid="{D3003C16-09EC-4E1B-869A-E8E680FE6E00}" name="Nombres"/>
    <tableColumn id="5" xr3:uid="{98479446-26F4-4850-8326-AEE97AD34875}" name="F. Nacimiento" dataDxfId="21"/>
    <tableColumn id="6" xr3:uid="{0225A7C8-BB86-4164-AC7D-C0542D2F4E88}" name="Departamento"/>
    <tableColumn id="7" xr3:uid="{E49FE79A-DA65-466C-8CCD-84C1D22A4B9F}" name="Sucursal"/>
    <tableColumn id="8" xr3:uid="{3012871E-5631-4437-BEE9-F491096A0B90}" name="Ingreso" dataDxfId="20"/>
    <tableColumn id="9" xr3:uid="{F5A0CB3C-4A4C-4744-90E6-BCB74CDD07C2}" name="Sueldo"/>
    <tableColumn id="10" xr3:uid="{8935DDE1-D597-4479-8A02-FC2F4046E3E3}" name="Bonif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3F23-8CA8-4AEF-9677-51B9D7C03BC8}">
  <dimension ref="A1:J6"/>
  <sheetViews>
    <sheetView workbookViewId="0">
      <selection activeCell="I10" sqref="I10"/>
    </sheetView>
  </sheetViews>
  <sheetFormatPr baseColWidth="10" defaultRowHeight="15" x14ac:dyDescent="0.25"/>
  <cols>
    <col min="2" max="2" width="14.5703125" customWidth="1"/>
    <col min="3" max="3" width="15" customWidth="1"/>
    <col min="5" max="5" width="15.42578125" customWidth="1"/>
    <col min="6" max="6" width="16" customWidth="1"/>
    <col min="10" max="10" width="14" customWidth="1"/>
  </cols>
  <sheetData>
    <row r="1" spans="1:10" x14ac:dyDescent="0.25">
      <c r="A1" t="s">
        <v>106</v>
      </c>
      <c r="B1" t="s">
        <v>105</v>
      </c>
      <c r="C1" t="s">
        <v>104</v>
      </c>
      <c r="D1" t="s">
        <v>103</v>
      </c>
      <c r="E1" t="s">
        <v>102</v>
      </c>
      <c r="F1" t="s">
        <v>101</v>
      </c>
      <c r="G1" t="s">
        <v>100</v>
      </c>
      <c r="H1" t="s">
        <v>99</v>
      </c>
      <c r="I1" t="s">
        <v>98</v>
      </c>
      <c r="J1" t="s">
        <v>97</v>
      </c>
    </row>
    <row r="2" spans="1:10" x14ac:dyDescent="0.25">
      <c r="A2" t="s">
        <v>11</v>
      </c>
      <c r="B2" t="s">
        <v>10</v>
      </c>
      <c r="C2" t="s">
        <v>9</v>
      </c>
      <c r="D2" t="s">
        <v>8</v>
      </c>
      <c r="E2" s="4">
        <v>30841</v>
      </c>
      <c r="F2" t="s">
        <v>7</v>
      </c>
      <c r="G2" t="s">
        <v>6</v>
      </c>
      <c r="H2" s="4">
        <v>42507</v>
      </c>
      <c r="I2">
        <v>7200000</v>
      </c>
      <c r="J2">
        <v>1150000</v>
      </c>
    </row>
    <row r="3" spans="1:10" x14ac:dyDescent="0.25">
      <c r="A3" t="s">
        <v>34</v>
      </c>
      <c r="B3" t="s">
        <v>33</v>
      </c>
      <c r="C3" t="s">
        <v>32</v>
      </c>
      <c r="D3" t="s">
        <v>31</v>
      </c>
      <c r="E3" s="4">
        <v>29485</v>
      </c>
      <c r="F3" t="s">
        <v>1</v>
      </c>
      <c r="G3" t="s">
        <v>6</v>
      </c>
      <c r="H3" s="4">
        <v>38677</v>
      </c>
      <c r="I3">
        <v>5700000</v>
      </c>
      <c r="J3">
        <v>900000</v>
      </c>
    </row>
    <row r="4" spans="1:10" x14ac:dyDescent="0.25">
      <c r="A4" t="s">
        <v>51</v>
      </c>
      <c r="B4" t="s">
        <v>50</v>
      </c>
      <c r="C4" t="s">
        <v>49</v>
      </c>
      <c r="D4" t="s">
        <v>48</v>
      </c>
      <c r="E4" s="4">
        <v>30594</v>
      </c>
      <c r="F4" t="s">
        <v>18</v>
      </c>
      <c r="G4" t="s">
        <v>6</v>
      </c>
      <c r="I4">
        <v>4500000</v>
      </c>
      <c r="J4">
        <v>700000</v>
      </c>
    </row>
    <row r="5" spans="1:10" x14ac:dyDescent="0.25">
      <c r="A5" t="s">
        <v>84</v>
      </c>
      <c r="B5" t="s">
        <v>83</v>
      </c>
      <c r="C5" t="s">
        <v>82</v>
      </c>
      <c r="D5" t="s">
        <v>81</v>
      </c>
      <c r="E5" s="4">
        <v>30863</v>
      </c>
      <c r="F5" t="s">
        <v>13</v>
      </c>
      <c r="G5" t="s">
        <v>6</v>
      </c>
      <c r="H5" s="4">
        <v>39645</v>
      </c>
      <c r="I5">
        <v>2100000</v>
      </c>
      <c r="J5">
        <v>300000</v>
      </c>
    </row>
    <row r="6" spans="1:10" x14ac:dyDescent="0.25">
      <c r="A6" t="s">
        <v>60</v>
      </c>
      <c r="B6" t="s">
        <v>59</v>
      </c>
      <c r="C6" t="s">
        <v>58</v>
      </c>
      <c r="D6" t="s">
        <v>57</v>
      </c>
      <c r="E6" s="4">
        <v>30979</v>
      </c>
      <c r="F6" t="s">
        <v>18</v>
      </c>
      <c r="G6" t="s">
        <v>6</v>
      </c>
      <c r="I6">
        <v>3900000</v>
      </c>
      <c r="J6">
        <v>600000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5C60-486C-4730-96E7-72A0A867622E}">
  <dimension ref="A3:B8"/>
  <sheetViews>
    <sheetView workbookViewId="0">
      <selection activeCell="B6" sqref="B6"/>
    </sheetView>
  </sheetViews>
  <sheetFormatPr baseColWidth="10" defaultRowHeight="15" x14ac:dyDescent="0.25"/>
  <cols>
    <col min="1" max="1" width="17.5703125" bestFit="1" customWidth="1"/>
    <col min="2" max="2" width="17.140625" bestFit="1" customWidth="1"/>
    <col min="3" max="3" width="16.28515625" bestFit="1" customWidth="1"/>
  </cols>
  <sheetData>
    <row r="3" spans="1:2" x14ac:dyDescent="0.25">
      <c r="A3" s="8" t="s">
        <v>125</v>
      </c>
      <c r="B3" t="s">
        <v>124</v>
      </c>
    </row>
    <row r="4" spans="1:2" x14ac:dyDescent="0.25">
      <c r="A4" s="9" t="s">
        <v>52</v>
      </c>
      <c r="B4" s="1">
        <v>16800000</v>
      </c>
    </row>
    <row r="5" spans="1:2" x14ac:dyDescent="0.25">
      <c r="A5" s="9" t="s">
        <v>0</v>
      </c>
      <c r="B5" s="1">
        <v>76500000</v>
      </c>
    </row>
    <row r="6" spans="1:2" x14ac:dyDescent="0.25">
      <c r="A6" s="9" t="s">
        <v>6</v>
      </c>
      <c r="B6" s="1">
        <v>23400000</v>
      </c>
    </row>
    <row r="7" spans="1:2" ht="17.25" x14ac:dyDescent="0.4">
      <c r="A7" s="9" t="s">
        <v>12</v>
      </c>
      <c r="B7" s="12">
        <v>16500000</v>
      </c>
    </row>
    <row r="8" spans="1:2" ht="17.25" x14ac:dyDescent="0.4">
      <c r="A8" s="9" t="s">
        <v>122</v>
      </c>
      <c r="B8" s="12">
        <v>133200000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activeCell="J28" sqref="J28"/>
    </sheetView>
  </sheetViews>
  <sheetFormatPr baseColWidth="10" defaultRowHeight="15" x14ac:dyDescent="0.25"/>
  <cols>
    <col min="1" max="1" width="12.140625" customWidth="1"/>
    <col min="2" max="2" width="15" customWidth="1"/>
    <col min="3" max="3" width="12.85546875" bestFit="1" customWidth="1"/>
    <col min="4" max="4" width="17.28515625" bestFit="1" customWidth="1"/>
    <col min="5" max="5" width="13.28515625" bestFit="1" customWidth="1"/>
    <col min="6" max="6" width="28.85546875" bestFit="1" customWidth="1"/>
    <col min="7" max="7" width="12.7109375" customWidth="1"/>
    <col min="8" max="8" width="10.7109375" bestFit="1" customWidth="1"/>
    <col min="9" max="10" width="14.5703125" bestFit="1" customWidth="1"/>
    <col min="11" max="12" width="10.28515625" customWidth="1"/>
  </cols>
  <sheetData>
    <row r="1" spans="1:10" ht="18.75" customHeight="1" x14ac:dyDescent="0.25"/>
    <row r="2" spans="1:10" ht="18.75" customHeight="1" x14ac:dyDescent="0.25"/>
    <row r="3" spans="1:10" ht="18.75" customHeight="1" x14ac:dyDescent="0.25"/>
    <row r="4" spans="1:10" ht="18.75" customHeight="1" x14ac:dyDescent="0.25"/>
    <row r="5" spans="1:10" ht="18.75" customHeight="1" x14ac:dyDescent="0.25"/>
    <row r="6" spans="1:10" x14ac:dyDescent="0.25">
      <c r="A6" s="6" t="s">
        <v>106</v>
      </c>
      <c r="B6" s="6" t="s">
        <v>105</v>
      </c>
      <c r="C6" s="6" t="s">
        <v>104</v>
      </c>
      <c r="D6" s="6" t="s">
        <v>103</v>
      </c>
      <c r="E6" s="6" t="s">
        <v>102</v>
      </c>
      <c r="F6" s="6" t="s">
        <v>101</v>
      </c>
      <c r="G6" s="6" t="s">
        <v>100</v>
      </c>
      <c r="H6" s="6" t="s">
        <v>99</v>
      </c>
      <c r="I6" s="6" t="s">
        <v>98</v>
      </c>
      <c r="J6" s="6" t="s">
        <v>97</v>
      </c>
    </row>
    <row r="7" spans="1:10" x14ac:dyDescent="0.25">
      <c r="A7" t="s">
        <v>96</v>
      </c>
      <c r="B7" t="s">
        <v>95</v>
      </c>
      <c r="C7" t="s">
        <v>94</v>
      </c>
      <c r="D7" t="s">
        <v>93</v>
      </c>
      <c r="E7" s="4">
        <v>29890</v>
      </c>
      <c r="F7" t="s">
        <v>7</v>
      </c>
      <c r="G7" t="s">
        <v>12</v>
      </c>
      <c r="H7" s="4">
        <v>36544</v>
      </c>
      <c r="I7" s="3">
        <v>1200000</v>
      </c>
      <c r="J7" s="5">
        <v>150000</v>
      </c>
    </row>
    <row r="8" spans="1:10" x14ac:dyDescent="0.25">
      <c r="A8" t="s">
        <v>92</v>
      </c>
      <c r="B8" t="s">
        <v>91</v>
      </c>
      <c r="C8" t="s">
        <v>90</v>
      </c>
      <c r="D8" t="s">
        <v>89</v>
      </c>
      <c r="E8" s="4">
        <v>30193</v>
      </c>
      <c r="F8" t="s">
        <v>7</v>
      </c>
      <c r="G8" t="s">
        <v>52</v>
      </c>
      <c r="H8" s="4">
        <v>40097</v>
      </c>
      <c r="I8" s="3">
        <v>1500000</v>
      </c>
      <c r="J8" s="3">
        <v>200000</v>
      </c>
    </row>
    <row r="9" spans="1:10" x14ac:dyDescent="0.25">
      <c r="A9" t="s">
        <v>88</v>
      </c>
      <c r="B9" t="s">
        <v>87</v>
      </c>
      <c r="C9" t="s">
        <v>86</v>
      </c>
      <c r="D9" t="s">
        <v>85</v>
      </c>
      <c r="E9" s="4">
        <v>29690</v>
      </c>
      <c r="F9" t="s">
        <v>18</v>
      </c>
      <c r="G9" t="s">
        <v>52</v>
      </c>
      <c r="H9" s="4"/>
      <c r="I9" s="3">
        <v>1800000</v>
      </c>
      <c r="J9" s="5">
        <v>250000</v>
      </c>
    </row>
    <row r="10" spans="1:10" x14ac:dyDescent="0.25">
      <c r="A10" t="s">
        <v>84</v>
      </c>
      <c r="B10" t="s">
        <v>83</v>
      </c>
      <c r="C10" t="s">
        <v>82</v>
      </c>
      <c r="D10" t="s">
        <v>81</v>
      </c>
      <c r="E10" s="4">
        <v>30863</v>
      </c>
      <c r="F10" t="s">
        <v>13</v>
      </c>
      <c r="G10" t="s">
        <v>6</v>
      </c>
      <c r="H10" s="4">
        <v>39645</v>
      </c>
      <c r="I10" s="3">
        <v>2100000</v>
      </c>
      <c r="J10" s="3">
        <v>300000</v>
      </c>
    </row>
    <row r="11" spans="1:10" x14ac:dyDescent="0.25">
      <c r="A11" t="s">
        <v>80</v>
      </c>
      <c r="B11" t="s">
        <v>79</v>
      </c>
      <c r="C11" t="s">
        <v>78</v>
      </c>
      <c r="D11" t="s">
        <v>77</v>
      </c>
      <c r="E11" s="4">
        <v>30677</v>
      </c>
      <c r="F11" t="s">
        <v>39</v>
      </c>
      <c r="G11" t="s">
        <v>0</v>
      </c>
      <c r="H11" s="4">
        <v>40671</v>
      </c>
      <c r="I11" s="3">
        <v>2400000</v>
      </c>
      <c r="J11" s="5">
        <v>350000</v>
      </c>
    </row>
    <row r="12" spans="1:10" x14ac:dyDescent="0.25">
      <c r="A12" t="s">
        <v>76</v>
      </c>
      <c r="B12" t="s">
        <v>75</v>
      </c>
      <c r="C12" t="s">
        <v>74</v>
      </c>
      <c r="D12" t="s">
        <v>73</v>
      </c>
      <c r="E12" s="4">
        <v>30826</v>
      </c>
      <c r="F12" t="s">
        <v>18</v>
      </c>
      <c r="G12" t="s">
        <v>52</v>
      </c>
      <c r="H12" s="4"/>
      <c r="I12" s="3">
        <v>2700000</v>
      </c>
      <c r="J12" s="3">
        <v>400000</v>
      </c>
    </row>
    <row r="13" spans="1:10" x14ac:dyDescent="0.25">
      <c r="A13" t="s">
        <v>72</v>
      </c>
      <c r="B13" t="s">
        <v>71</v>
      </c>
      <c r="C13" t="s">
        <v>70</v>
      </c>
      <c r="D13" t="s">
        <v>69</v>
      </c>
      <c r="E13" s="4">
        <v>30848</v>
      </c>
      <c r="F13" t="s">
        <v>1</v>
      </c>
      <c r="G13" t="s">
        <v>52</v>
      </c>
      <c r="H13" s="4">
        <v>40200</v>
      </c>
      <c r="I13" s="3">
        <v>3000000</v>
      </c>
      <c r="J13" s="5">
        <v>450000</v>
      </c>
    </row>
    <row r="14" spans="1:10" x14ac:dyDescent="0.25">
      <c r="A14" t="s">
        <v>68</v>
      </c>
      <c r="B14" t="s">
        <v>67</v>
      </c>
      <c r="C14" t="s">
        <v>66</v>
      </c>
      <c r="D14" t="s">
        <v>65</v>
      </c>
      <c r="E14" s="4">
        <v>29998</v>
      </c>
      <c r="F14" t="s">
        <v>18</v>
      </c>
      <c r="G14" t="s">
        <v>12</v>
      </c>
      <c r="H14" s="4">
        <v>43064</v>
      </c>
      <c r="I14" s="3">
        <v>3300000</v>
      </c>
      <c r="J14" s="3">
        <v>500000</v>
      </c>
    </row>
    <row r="15" spans="1:10" x14ac:dyDescent="0.25">
      <c r="A15" t="s">
        <v>64</v>
      </c>
      <c r="B15" t="s">
        <v>63</v>
      </c>
      <c r="C15" t="s">
        <v>62</v>
      </c>
      <c r="D15" t="s">
        <v>61</v>
      </c>
      <c r="E15" s="4">
        <v>29691</v>
      </c>
      <c r="F15" t="s">
        <v>1</v>
      </c>
      <c r="G15" t="s">
        <v>52</v>
      </c>
      <c r="H15" s="4">
        <v>40755</v>
      </c>
      <c r="I15" s="3">
        <v>3600000</v>
      </c>
      <c r="J15" s="5">
        <v>550000</v>
      </c>
    </row>
    <row r="16" spans="1:10" x14ac:dyDescent="0.25">
      <c r="A16" t="s">
        <v>60</v>
      </c>
      <c r="B16" t="s">
        <v>59</v>
      </c>
      <c r="C16" t="s">
        <v>58</v>
      </c>
      <c r="D16" t="s">
        <v>57</v>
      </c>
      <c r="E16" s="4">
        <v>30979</v>
      </c>
      <c r="F16" t="s">
        <v>18</v>
      </c>
      <c r="G16" t="s">
        <v>6</v>
      </c>
      <c r="H16" s="4"/>
      <c r="I16" s="3">
        <v>3900000</v>
      </c>
      <c r="J16" s="3">
        <v>600000</v>
      </c>
    </row>
    <row r="17" spans="1:11" x14ac:dyDescent="0.25">
      <c r="A17" t="s">
        <v>56</v>
      </c>
      <c r="B17" t="s">
        <v>55</v>
      </c>
      <c r="C17" t="s">
        <v>54</v>
      </c>
      <c r="D17" t="s">
        <v>53</v>
      </c>
      <c r="E17" s="4">
        <v>29336</v>
      </c>
      <c r="F17" t="s">
        <v>1</v>
      </c>
      <c r="G17" t="s">
        <v>52</v>
      </c>
      <c r="H17" s="4">
        <v>37646</v>
      </c>
      <c r="I17" s="3">
        <v>4200000</v>
      </c>
      <c r="J17" s="5">
        <v>650000</v>
      </c>
    </row>
    <row r="18" spans="1:11" x14ac:dyDescent="0.25">
      <c r="A18" t="s">
        <v>51</v>
      </c>
      <c r="B18" t="s">
        <v>50</v>
      </c>
      <c r="C18" t="s">
        <v>49</v>
      </c>
      <c r="D18" t="s">
        <v>48</v>
      </c>
      <c r="E18" s="4">
        <v>30594</v>
      </c>
      <c r="F18" t="s">
        <v>18</v>
      </c>
      <c r="G18" t="s">
        <v>6</v>
      </c>
      <c r="H18" s="4"/>
      <c r="I18" s="3">
        <v>4500000</v>
      </c>
      <c r="J18" s="3">
        <v>700000</v>
      </c>
    </row>
    <row r="19" spans="1:11" x14ac:dyDescent="0.25">
      <c r="A19" t="s">
        <v>47</v>
      </c>
      <c r="B19" t="s">
        <v>46</v>
      </c>
      <c r="C19" t="s">
        <v>45</v>
      </c>
      <c r="D19" t="s">
        <v>44</v>
      </c>
      <c r="E19" s="4">
        <v>30480</v>
      </c>
      <c r="F19" t="s">
        <v>7</v>
      </c>
      <c r="G19" t="s">
        <v>0</v>
      </c>
      <c r="H19" s="4">
        <v>38293</v>
      </c>
      <c r="I19" s="3">
        <v>4800000</v>
      </c>
      <c r="J19" s="5">
        <v>750000</v>
      </c>
    </row>
    <row r="20" spans="1:11" x14ac:dyDescent="0.25">
      <c r="A20" t="s">
        <v>43</v>
      </c>
      <c r="B20" t="s">
        <v>42</v>
      </c>
      <c r="C20" t="s">
        <v>41</v>
      </c>
      <c r="D20" t="s">
        <v>40</v>
      </c>
      <c r="E20" s="4">
        <v>30899</v>
      </c>
      <c r="F20" t="s">
        <v>39</v>
      </c>
      <c r="G20" t="s">
        <v>12</v>
      </c>
      <c r="H20" s="4">
        <v>39156</v>
      </c>
      <c r="I20" s="3">
        <v>5100000</v>
      </c>
      <c r="J20" s="3">
        <v>800000</v>
      </c>
    </row>
    <row r="21" spans="1:11" x14ac:dyDescent="0.25">
      <c r="A21" t="s">
        <v>38</v>
      </c>
      <c r="B21" t="s">
        <v>37</v>
      </c>
      <c r="C21" t="s">
        <v>36</v>
      </c>
      <c r="D21" t="s">
        <v>35</v>
      </c>
      <c r="E21" s="4">
        <v>29362</v>
      </c>
      <c r="F21" t="s">
        <v>1</v>
      </c>
      <c r="G21" t="s">
        <v>0</v>
      </c>
      <c r="H21" s="4">
        <v>38477</v>
      </c>
      <c r="I21" s="3">
        <v>5400000</v>
      </c>
      <c r="J21" s="5">
        <v>850000</v>
      </c>
    </row>
    <row r="22" spans="1:11" x14ac:dyDescent="0.25">
      <c r="A22" t="s">
        <v>34</v>
      </c>
      <c r="B22" t="s">
        <v>33</v>
      </c>
      <c r="C22" t="s">
        <v>32</v>
      </c>
      <c r="D22" t="s">
        <v>31</v>
      </c>
      <c r="E22" s="4">
        <v>29485</v>
      </c>
      <c r="F22" t="s">
        <v>1</v>
      </c>
      <c r="G22" t="s">
        <v>6</v>
      </c>
      <c r="H22" s="4">
        <v>38677</v>
      </c>
      <c r="I22" s="3">
        <v>5700000</v>
      </c>
      <c r="J22" s="3">
        <v>900000</v>
      </c>
    </row>
    <row r="23" spans="1:11" x14ac:dyDescent="0.25">
      <c r="A23" t="s">
        <v>30</v>
      </c>
      <c r="B23" t="s">
        <v>29</v>
      </c>
      <c r="C23" t="s">
        <v>28</v>
      </c>
      <c r="D23" t="s">
        <v>27</v>
      </c>
      <c r="E23" s="4">
        <v>29266</v>
      </c>
      <c r="F23" t="s">
        <v>7</v>
      </c>
      <c r="G23" t="s">
        <v>0</v>
      </c>
      <c r="H23" s="4"/>
      <c r="I23" s="3">
        <v>6000000</v>
      </c>
      <c r="J23" s="5">
        <v>950000</v>
      </c>
    </row>
    <row r="24" spans="1:11" x14ac:dyDescent="0.25">
      <c r="A24" t="s">
        <v>26</v>
      </c>
      <c r="B24" t="s">
        <v>25</v>
      </c>
      <c r="C24" t="s">
        <v>24</v>
      </c>
      <c r="D24" t="s">
        <v>23</v>
      </c>
      <c r="E24" s="4">
        <v>29762</v>
      </c>
      <c r="F24" t="s">
        <v>18</v>
      </c>
      <c r="G24" t="s">
        <v>0</v>
      </c>
      <c r="H24" s="4">
        <v>38338</v>
      </c>
      <c r="I24" s="3">
        <v>6300000</v>
      </c>
      <c r="J24" s="3">
        <v>1000000</v>
      </c>
    </row>
    <row r="25" spans="1:11" x14ac:dyDescent="0.25">
      <c r="A25" t="s">
        <v>22</v>
      </c>
      <c r="B25" t="s">
        <v>21</v>
      </c>
      <c r="C25" t="s">
        <v>20</v>
      </c>
      <c r="D25" t="s">
        <v>19</v>
      </c>
      <c r="E25" s="4">
        <v>29728</v>
      </c>
      <c r="F25" t="s">
        <v>18</v>
      </c>
      <c r="G25" t="s">
        <v>0</v>
      </c>
      <c r="H25" s="4">
        <v>38050</v>
      </c>
      <c r="I25" s="3">
        <v>6600000</v>
      </c>
      <c r="J25" s="5">
        <v>1050000</v>
      </c>
    </row>
    <row r="26" spans="1:11" x14ac:dyDescent="0.25">
      <c r="A26" t="s">
        <v>17</v>
      </c>
      <c r="B26" t="s">
        <v>16</v>
      </c>
      <c r="C26" t="s">
        <v>15</v>
      </c>
      <c r="D26" t="s">
        <v>14</v>
      </c>
      <c r="E26" s="4">
        <v>29298</v>
      </c>
      <c r="F26" t="s">
        <v>13</v>
      </c>
      <c r="G26" t="s">
        <v>12</v>
      </c>
      <c r="H26" s="4">
        <v>40358</v>
      </c>
      <c r="I26" s="3">
        <v>6900000</v>
      </c>
      <c r="J26" s="3">
        <v>1100000</v>
      </c>
    </row>
    <row r="27" spans="1:11" x14ac:dyDescent="0.25">
      <c r="A27" t="s">
        <v>11</v>
      </c>
      <c r="B27" t="s">
        <v>10</v>
      </c>
      <c r="C27" t="s">
        <v>9</v>
      </c>
      <c r="D27" t="s">
        <v>8</v>
      </c>
      <c r="E27" s="4">
        <v>30841</v>
      </c>
      <c r="F27" t="s">
        <v>7</v>
      </c>
      <c r="G27" t="s">
        <v>6</v>
      </c>
      <c r="H27" s="4">
        <v>42507</v>
      </c>
      <c r="I27" s="3">
        <v>7200000</v>
      </c>
      <c r="J27" s="5">
        <v>1150000</v>
      </c>
      <c r="K27" s="2"/>
    </row>
    <row r="28" spans="1:11" x14ac:dyDescent="0.25">
      <c r="A28" t="s">
        <v>5</v>
      </c>
      <c r="B28" t="s">
        <v>4</v>
      </c>
      <c r="C28" t="s">
        <v>3</v>
      </c>
      <c r="D28" t="s">
        <v>2</v>
      </c>
      <c r="E28" s="4">
        <v>29919</v>
      </c>
      <c r="F28" t="s">
        <v>1</v>
      </c>
      <c r="G28" t="s">
        <v>0</v>
      </c>
      <c r="H28" s="4">
        <v>39917</v>
      </c>
      <c r="I28" s="3">
        <v>7500000</v>
      </c>
      <c r="J28" s="3">
        <v>1200000</v>
      </c>
      <c r="K28" s="2"/>
    </row>
    <row r="29" spans="1:11" x14ac:dyDescent="0.25">
      <c r="A29" t="s">
        <v>116</v>
      </c>
      <c r="B29" t="s">
        <v>4</v>
      </c>
      <c r="C29" t="s">
        <v>3</v>
      </c>
      <c r="D29" t="s">
        <v>2</v>
      </c>
      <c r="E29" s="4">
        <v>29920</v>
      </c>
      <c r="F29" t="s">
        <v>1</v>
      </c>
      <c r="G29" t="s">
        <v>0</v>
      </c>
      <c r="H29" s="4">
        <v>39918</v>
      </c>
      <c r="I29" s="3">
        <v>7500000</v>
      </c>
      <c r="J29" s="3">
        <v>1200000</v>
      </c>
    </row>
    <row r="30" spans="1:11" x14ac:dyDescent="0.25">
      <c r="A30" t="s">
        <v>117</v>
      </c>
      <c r="B30" t="s">
        <v>4</v>
      </c>
      <c r="C30" t="s">
        <v>3</v>
      </c>
      <c r="D30" t="s">
        <v>2</v>
      </c>
      <c r="E30" s="4">
        <v>29921</v>
      </c>
      <c r="F30" t="s">
        <v>1</v>
      </c>
      <c r="G30" t="s">
        <v>0</v>
      </c>
      <c r="H30" s="4">
        <v>39919</v>
      </c>
      <c r="I30" s="3">
        <v>7500000</v>
      </c>
      <c r="J30" s="3">
        <v>1200000</v>
      </c>
    </row>
    <row r="31" spans="1:11" x14ac:dyDescent="0.25">
      <c r="A31" t="s">
        <v>118</v>
      </c>
      <c r="B31" t="s">
        <v>4</v>
      </c>
      <c r="C31" t="s">
        <v>3</v>
      </c>
      <c r="D31" t="s">
        <v>2</v>
      </c>
      <c r="E31" s="4">
        <v>29922</v>
      </c>
      <c r="F31" t="s">
        <v>1</v>
      </c>
      <c r="G31" t="s">
        <v>0</v>
      </c>
      <c r="H31" s="4">
        <v>39920</v>
      </c>
      <c r="I31" s="3">
        <v>7500000</v>
      </c>
      <c r="J31" s="3">
        <v>1200000</v>
      </c>
    </row>
    <row r="32" spans="1:11" x14ac:dyDescent="0.25">
      <c r="A32" t="s">
        <v>119</v>
      </c>
      <c r="B32" t="s">
        <v>4</v>
      </c>
      <c r="C32" t="s">
        <v>3</v>
      </c>
      <c r="D32" t="s">
        <v>2</v>
      </c>
      <c r="E32" s="4">
        <v>29923</v>
      </c>
      <c r="F32" t="s">
        <v>1</v>
      </c>
      <c r="G32" t="s">
        <v>0</v>
      </c>
      <c r="H32" s="4">
        <v>39921</v>
      </c>
      <c r="I32" s="3">
        <v>7500000</v>
      </c>
      <c r="J32" s="3">
        <v>1200000</v>
      </c>
    </row>
    <row r="33" spans="1:10" x14ac:dyDescent="0.25">
      <c r="A33" t="s">
        <v>120</v>
      </c>
      <c r="B33" t="s">
        <v>4</v>
      </c>
      <c r="C33" t="s">
        <v>3</v>
      </c>
      <c r="D33" t="s">
        <v>2</v>
      </c>
      <c r="E33" s="4">
        <v>29924</v>
      </c>
      <c r="F33" t="s">
        <v>1</v>
      </c>
      <c r="G33" t="s">
        <v>0</v>
      </c>
      <c r="H33" s="4">
        <v>39922</v>
      </c>
      <c r="I33" s="3">
        <v>7500000</v>
      </c>
      <c r="J33" s="3">
        <v>1200000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9"/>
  <sheetViews>
    <sheetView zoomScale="90" zoomScaleNormal="90" workbookViewId="0">
      <selection activeCell="K15" sqref="K15"/>
    </sheetView>
  </sheetViews>
  <sheetFormatPr baseColWidth="10" defaultRowHeight="15" x14ac:dyDescent="0.25"/>
  <cols>
    <col min="1" max="1" width="10.140625" bestFit="1" customWidth="1"/>
    <col min="2" max="2" width="12.42578125" bestFit="1" customWidth="1"/>
    <col min="3" max="3" width="12.85546875" bestFit="1" customWidth="1"/>
    <col min="4" max="4" width="17.28515625" bestFit="1" customWidth="1"/>
    <col min="5" max="5" width="13.28515625" bestFit="1" customWidth="1"/>
    <col min="6" max="6" width="28.85546875" bestFit="1" customWidth="1"/>
    <col min="7" max="7" width="12.7109375" customWidth="1"/>
    <col min="8" max="8" width="11.5703125" bestFit="1" customWidth="1"/>
    <col min="9" max="10" width="15.42578125" bestFit="1" customWidth="1"/>
    <col min="11" max="11" width="10.28515625" customWidth="1"/>
    <col min="12" max="12" width="20" bestFit="1" customWidth="1"/>
    <col min="13" max="13" width="22.5703125" bestFit="1" customWidth="1"/>
    <col min="14" max="15" width="15.5703125" bestFit="1" customWidth="1"/>
    <col min="16" max="16" width="14" bestFit="1" customWidth="1"/>
    <col min="17" max="17" width="17.85546875" bestFit="1" customWidth="1"/>
    <col min="18" max="18" width="15.5703125" bestFit="1" customWidth="1"/>
  </cols>
  <sheetData>
    <row r="1" spans="1:18" ht="18.75" customHeight="1" x14ac:dyDescent="0.25"/>
    <row r="2" spans="1:18" ht="18.75" customHeight="1" x14ac:dyDescent="0.25"/>
    <row r="3" spans="1:18" ht="18.75" customHeight="1" x14ac:dyDescent="0.25"/>
    <row r="4" spans="1:18" ht="18.75" customHeight="1" x14ac:dyDescent="0.25"/>
    <row r="5" spans="1:18" ht="18.75" customHeight="1" x14ac:dyDescent="0.25"/>
    <row r="6" spans="1:18" x14ac:dyDescent="0.25">
      <c r="A6" s="6" t="s">
        <v>106</v>
      </c>
      <c r="B6" s="6" t="s">
        <v>105</v>
      </c>
      <c r="C6" s="6" t="s">
        <v>104</v>
      </c>
      <c r="D6" s="6" t="s">
        <v>103</v>
      </c>
      <c r="E6" s="6" t="s">
        <v>102</v>
      </c>
      <c r="F6" s="6" t="s">
        <v>101</v>
      </c>
      <c r="G6" s="6" t="s">
        <v>100</v>
      </c>
      <c r="H6" s="6" t="s">
        <v>99</v>
      </c>
      <c r="I6" s="6" t="s">
        <v>98</v>
      </c>
      <c r="J6" s="6" t="s">
        <v>97</v>
      </c>
      <c r="L6" s="8" t="s">
        <v>127</v>
      </c>
      <c r="M6" s="8" t="s">
        <v>128</v>
      </c>
    </row>
    <row r="7" spans="1:18" x14ac:dyDescent="0.25">
      <c r="A7" t="s">
        <v>96</v>
      </c>
      <c r="B7" t="s">
        <v>95</v>
      </c>
      <c r="C7" t="s">
        <v>94</v>
      </c>
      <c r="D7" t="s">
        <v>93</v>
      </c>
      <c r="E7" s="4">
        <v>29890</v>
      </c>
      <c r="F7" t="s">
        <v>7</v>
      </c>
      <c r="G7" t="s">
        <v>12</v>
      </c>
      <c r="H7" s="4">
        <v>36544</v>
      </c>
      <c r="I7" s="3">
        <v>1200000</v>
      </c>
      <c r="J7" s="5">
        <v>150000</v>
      </c>
      <c r="K7" s="2"/>
      <c r="L7" s="8" t="s">
        <v>121</v>
      </c>
      <c r="M7" t="s">
        <v>7</v>
      </c>
      <c r="N7" t="s">
        <v>1</v>
      </c>
      <c r="O7" t="s">
        <v>18</v>
      </c>
      <c r="P7" t="s">
        <v>39</v>
      </c>
      <c r="Q7" t="s">
        <v>13</v>
      </c>
      <c r="R7" t="s">
        <v>122</v>
      </c>
    </row>
    <row r="8" spans="1:18" x14ac:dyDescent="0.25">
      <c r="A8" t="s">
        <v>92</v>
      </c>
      <c r="B8" t="s">
        <v>91</v>
      </c>
      <c r="C8" t="s">
        <v>90</v>
      </c>
      <c r="D8" t="s">
        <v>89</v>
      </c>
      <c r="E8" s="4">
        <v>30193</v>
      </c>
      <c r="F8" t="s">
        <v>7</v>
      </c>
      <c r="G8" t="s">
        <v>52</v>
      </c>
      <c r="H8" s="4">
        <v>40097</v>
      </c>
      <c r="I8" s="3">
        <v>1500000</v>
      </c>
      <c r="J8" s="3">
        <v>200000</v>
      </c>
      <c r="K8" s="2"/>
      <c r="L8" s="13" t="s">
        <v>52</v>
      </c>
      <c r="M8" s="14">
        <v>200000</v>
      </c>
      <c r="N8" s="14">
        <v>1650000</v>
      </c>
      <c r="O8" s="14">
        <v>650000</v>
      </c>
      <c r="P8" s="14"/>
      <c r="Q8" s="14"/>
      <c r="R8" s="14">
        <v>2500000</v>
      </c>
    </row>
    <row r="9" spans="1:18" x14ac:dyDescent="0.25">
      <c r="A9" t="s">
        <v>88</v>
      </c>
      <c r="B9" t="s">
        <v>87</v>
      </c>
      <c r="C9" t="s">
        <v>86</v>
      </c>
      <c r="D9" t="s">
        <v>85</v>
      </c>
      <c r="E9" s="4">
        <v>29690</v>
      </c>
      <c r="F9" t="s">
        <v>18</v>
      </c>
      <c r="G9" t="s">
        <v>52</v>
      </c>
      <c r="H9" s="4"/>
      <c r="I9" s="3">
        <v>1800000</v>
      </c>
      <c r="J9" s="5">
        <v>250000</v>
      </c>
      <c r="K9" s="2"/>
      <c r="L9" s="13" t="s">
        <v>0</v>
      </c>
      <c r="M9" s="14">
        <v>1700000</v>
      </c>
      <c r="N9" s="14">
        <v>2050000</v>
      </c>
      <c r="O9" s="14">
        <v>2050000</v>
      </c>
      <c r="P9" s="14">
        <v>350000</v>
      </c>
      <c r="Q9" s="14"/>
      <c r="R9" s="14">
        <v>6150000</v>
      </c>
    </row>
    <row r="10" spans="1:18" x14ac:dyDescent="0.25">
      <c r="A10" t="s">
        <v>84</v>
      </c>
      <c r="B10" t="s">
        <v>83</v>
      </c>
      <c r="C10" t="s">
        <v>82</v>
      </c>
      <c r="D10" t="s">
        <v>81</v>
      </c>
      <c r="E10" s="4">
        <v>30863</v>
      </c>
      <c r="F10" t="s">
        <v>13</v>
      </c>
      <c r="G10" t="s">
        <v>6</v>
      </c>
      <c r="H10" s="4">
        <v>39645</v>
      </c>
      <c r="I10" s="3">
        <v>2100000</v>
      </c>
      <c r="J10" s="3">
        <v>300000</v>
      </c>
      <c r="K10" s="2"/>
      <c r="L10" s="13" t="s">
        <v>6</v>
      </c>
      <c r="M10" s="14">
        <v>1150000</v>
      </c>
      <c r="N10" s="14">
        <v>900000</v>
      </c>
      <c r="O10" s="14">
        <v>1300000</v>
      </c>
      <c r="P10" s="14"/>
      <c r="Q10" s="14">
        <v>300000</v>
      </c>
      <c r="R10" s="14">
        <v>3650000</v>
      </c>
    </row>
    <row r="11" spans="1:18" x14ac:dyDescent="0.25">
      <c r="A11" t="s">
        <v>80</v>
      </c>
      <c r="B11" t="s">
        <v>79</v>
      </c>
      <c r="C11" t="s">
        <v>78</v>
      </c>
      <c r="D11" t="s">
        <v>77</v>
      </c>
      <c r="E11" s="4">
        <v>30677</v>
      </c>
      <c r="F11" t="s">
        <v>39</v>
      </c>
      <c r="G11" t="s">
        <v>0</v>
      </c>
      <c r="H11" s="4">
        <v>40671</v>
      </c>
      <c r="I11" s="3">
        <v>2400000</v>
      </c>
      <c r="J11" s="5">
        <v>350000</v>
      </c>
      <c r="K11" s="2"/>
      <c r="L11" s="13" t="s">
        <v>12</v>
      </c>
      <c r="M11" s="14">
        <v>150000</v>
      </c>
      <c r="N11" s="14"/>
      <c r="O11" s="14">
        <v>500000</v>
      </c>
      <c r="P11" s="14">
        <v>800000</v>
      </c>
      <c r="Q11" s="14">
        <v>1100000</v>
      </c>
      <c r="R11" s="14">
        <v>2550000</v>
      </c>
    </row>
    <row r="12" spans="1:18" x14ac:dyDescent="0.25">
      <c r="A12" t="s">
        <v>76</v>
      </c>
      <c r="B12" t="s">
        <v>75</v>
      </c>
      <c r="C12" t="s">
        <v>74</v>
      </c>
      <c r="D12" t="s">
        <v>73</v>
      </c>
      <c r="E12" s="4">
        <v>30826</v>
      </c>
      <c r="F12" t="s">
        <v>18</v>
      </c>
      <c r="G12" t="s">
        <v>52</v>
      </c>
      <c r="H12" s="4"/>
      <c r="I12" s="3">
        <v>2700000</v>
      </c>
      <c r="J12" s="3">
        <v>400000</v>
      </c>
      <c r="K12" s="2"/>
      <c r="L12" s="9" t="s">
        <v>122</v>
      </c>
      <c r="M12" s="15">
        <v>3200000</v>
      </c>
      <c r="N12" s="15">
        <v>4600000</v>
      </c>
      <c r="O12" s="15">
        <v>4500000</v>
      </c>
      <c r="P12" s="15">
        <v>1150000</v>
      </c>
      <c r="Q12" s="15">
        <v>1400000</v>
      </c>
      <c r="R12" s="15">
        <v>14850000</v>
      </c>
    </row>
    <row r="13" spans="1:18" x14ac:dyDescent="0.25">
      <c r="A13" t="s">
        <v>72</v>
      </c>
      <c r="B13" t="s">
        <v>71</v>
      </c>
      <c r="C13" t="s">
        <v>70</v>
      </c>
      <c r="D13" t="s">
        <v>69</v>
      </c>
      <c r="E13" s="4">
        <v>30848</v>
      </c>
      <c r="F13" t="s">
        <v>1</v>
      </c>
      <c r="G13" t="s">
        <v>52</v>
      </c>
      <c r="H13" s="4">
        <v>40200</v>
      </c>
      <c r="I13" s="3">
        <v>3000000</v>
      </c>
      <c r="J13" s="5">
        <v>450000</v>
      </c>
      <c r="K13" s="2"/>
    </row>
    <row r="14" spans="1:18" x14ac:dyDescent="0.25">
      <c r="A14" t="s">
        <v>68</v>
      </c>
      <c r="B14" t="s">
        <v>67</v>
      </c>
      <c r="C14" t="s">
        <v>66</v>
      </c>
      <c r="D14" t="s">
        <v>65</v>
      </c>
      <c r="E14" s="4">
        <v>29998</v>
      </c>
      <c r="F14" t="s">
        <v>18</v>
      </c>
      <c r="G14" t="s">
        <v>12</v>
      </c>
      <c r="H14" s="4">
        <v>43064</v>
      </c>
      <c r="I14" s="3">
        <v>3300000</v>
      </c>
      <c r="J14" s="3">
        <v>500000</v>
      </c>
      <c r="K14" s="2"/>
    </row>
    <row r="15" spans="1:18" x14ac:dyDescent="0.25">
      <c r="A15" t="s">
        <v>64</v>
      </c>
      <c r="B15" t="s">
        <v>63</v>
      </c>
      <c r="C15" t="s">
        <v>62</v>
      </c>
      <c r="D15" t="s">
        <v>61</v>
      </c>
      <c r="E15" s="4">
        <v>29691</v>
      </c>
      <c r="F15" t="s">
        <v>1</v>
      </c>
      <c r="G15" t="s">
        <v>52</v>
      </c>
      <c r="H15" s="4">
        <v>40755</v>
      </c>
      <c r="I15" s="3">
        <v>3600000</v>
      </c>
      <c r="J15" s="5">
        <v>550000</v>
      </c>
      <c r="K15" s="2"/>
    </row>
    <row r="16" spans="1:18" x14ac:dyDescent="0.25">
      <c r="A16" t="s">
        <v>60</v>
      </c>
      <c r="B16" t="s">
        <v>59</v>
      </c>
      <c r="C16" t="s">
        <v>58</v>
      </c>
      <c r="D16" t="s">
        <v>57</v>
      </c>
      <c r="E16" s="4">
        <v>30979</v>
      </c>
      <c r="F16" t="s">
        <v>18</v>
      </c>
      <c r="G16" t="s">
        <v>6</v>
      </c>
      <c r="H16" s="4"/>
      <c r="I16" s="3">
        <v>3900000</v>
      </c>
      <c r="J16" s="3">
        <v>600000</v>
      </c>
      <c r="K16" s="2"/>
    </row>
    <row r="17" spans="1:11" x14ac:dyDescent="0.25">
      <c r="A17" t="s">
        <v>56</v>
      </c>
      <c r="B17" t="s">
        <v>55</v>
      </c>
      <c r="C17" t="s">
        <v>54</v>
      </c>
      <c r="D17" t="s">
        <v>53</v>
      </c>
      <c r="E17" s="4">
        <v>29336</v>
      </c>
      <c r="F17" t="s">
        <v>1</v>
      </c>
      <c r="G17" t="s">
        <v>52</v>
      </c>
      <c r="H17" s="4">
        <v>37646</v>
      </c>
      <c r="I17" s="3">
        <v>4200000</v>
      </c>
      <c r="J17" s="5">
        <v>650000</v>
      </c>
      <c r="K17" s="2"/>
    </row>
    <row r="18" spans="1:11" x14ac:dyDescent="0.25">
      <c r="A18" t="s">
        <v>51</v>
      </c>
      <c r="B18" t="s">
        <v>50</v>
      </c>
      <c r="C18" t="s">
        <v>49</v>
      </c>
      <c r="D18" t="s">
        <v>48</v>
      </c>
      <c r="E18" s="4">
        <v>30594</v>
      </c>
      <c r="F18" t="s">
        <v>18</v>
      </c>
      <c r="G18" t="s">
        <v>6</v>
      </c>
      <c r="H18" s="4"/>
      <c r="I18" s="3">
        <v>4500000</v>
      </c>
      <c r="J18" s="3">
        <v>700000</v>
      </c>
      <c r="K18" s="2"/>
    </row>
    <row r="19" spans="1:11" x14ac:dyDescent="0.25">
      <c r="A19" t="s">
        <v>47</v>
      </c>
      <c r="B19" t="s">
        <v>46</v>
      </c>
      <c r="C19" t="s">
        <v>45</v>
      </c>
      <c r="D19" t="s">
        <v>44</v>
      </c>
      <c r="E19" s="4">
        <v>30480</v>
      </c>
      <c r="F19" t="s">
        <v>7</v>
      </c>
      <c r="G19" t="s">
        <v>0</v>
      </c>
      <c r="H19" s="4">
        <v>38293</v>
      </c>
      <c r="I19" s="3">
        <v>4800000</v>
      </c>
      <c r="J19" s="5">
        <v>750000</v>
      </c>
      <c r="K19" s="2"/>
    </row>
    <row r="20" spans="1:11" x14ac:dyDescent="0.25">
      <c r="A20" t="s">
        <v>43</v>
      </c>
      <c r="B20" t="s">
        <v>42</v>
      </c>
      <c r="C20" t="s">
        <v>41</v>
      </c>
      <c r="D20" t="s">
        <v>40</v>
      </c>
      <c r="E20" s="4">
        <v>30899</v>
      </c>
      <c r="F20" t="s">
        <v>39</v>
      </c>
      <c r="G20" t="s">
        <v>12</v>
      </c>
      <c r="H20" s="4">
        <v>39156</v>
      </c>
      <c r="I20" s="3">
        <v>5100000</v>
      </c>
      <c r="J20" s="3">
        <v>800000</v>
      </c>
      <c r="K20" s="2"/>
    </row>
    <row r="21" spans="1:11" x14ac:dyDescent="0.25">
      <c r="A21" t="s">
        <v>38</v>
      </c>
      <c r="B21" t="s">
        <v>37</v>
      </c>
      <c r="C21" t="s">
        <v>36</v>
      </c>
      <c r="D21" t="s">
        <v>35</v>
      </c>
      <c r="E21" s="4">
        <v>29362</v>
      </c>
      <c r="F21" t="s">
        <v>1</v>
      </c>
      <c r="G21" t="s">
        <v>0</v>
      </c>
      <c r="H21" s="4">
        <v>38477</v>
      </c>
      <c r="I21" s="3">
        <v>5400000</v>
      </c>
      <c r="J21" s="5">
        <v>850000</v>
      </c>
      <c r="K21" s="2"/>
    </row>
    <row r="22" spans="1:11" x14ac:dyDescent="0.25">
      <c r="A22" t="s">
        <v>34</v>
      </c>
      <c r="B22" t="s">
        <v>33</v>
      </c>
      <c r="C22" t="s">
        <v>32</v>
      </c>
      <c r="D22" t="s">
        <v>31</v>
      </c>
      <c r="E22" s="4">
        <v>29485</v>
      </c>
      <c r="F22" t="s">
        <v>1</v>
      </c>
      <c r="G22" t="s">
        <v>6</v>
      </c>
      <c r="H22" s="4">
        <v>38677</v>
      </c>
      <c r="I22" s="3">
        <v>5700000</v>
      </c>
      <c r="J22" s="3">
        <v>900000</v>
      </c>
      <c r="K22" s="2"/>
    </row>
    <row r="23" spans="1:11" x14ac:dyDescent="0.25">
      <c r="A23" t="s">
        <v>30</v>
      </c>
      <c r="B23" t="s">
        <v>29</v>
      </c>
      <c r="C23" t="s">
        <v>28</v>
      </c>
      <c r="D23" t="s">
        <v>27</v>
      </c>
      <c r="E23" s="4">
        <v>29266</v>
      </c>
      <c r="F23" t="s">
        <v>7</v>
      </c>
      <c r="G23" t="s">
        <v>0</v>
      </c>
      <c r="H23" s="4"/>
      <c r="I23" s="3">
        <v>6000000</v>
      </c>
      <c r="J23" s="5">
        <v>950000</v>
      </c>
      <c r="K23" s="2"/>
    </row>
    <row r="24" spans="1:11" x14ac:dyDescent="0.25">
      <c r="A24" t="s">
        <v>26</v>
      </c>
      <c r="B24" t="s">
        <v>25</v>
      </c>
      <c r="C24" t="s">
        <v>24</v>
      </c>
      <c r="D24" t="s">
        <v>23</v>
      </c>
      <c r="E24" s="4">
        <v>29762</v>
      </c>
      <c r="F24" t="s">
        <v>18</v>
      </c>
      <c r="G24" t="s">
        <v>0</v>
      </c>
      <c r="H24" s="4">
        <v>38338</v>
      </c>
      <c r="I24" s="3">
        <v>6300000</v>
      </c>
      <c r="J24" s="3">
        <v>1000000</v>
      </c>
      <c r="K24" s="2"/>
    </row>
    <row r="25" spans="1:11" x14ac:dyDescent="0.25">
      <c r="A25" t="s">
        <v>22</v>
      </c>
      <c r="B25" t="s">
        <v>21</v>
      </c>
      <c r="C25" t="s">
        <v>20</v>
      </c>
      <c r="D25" t="s">
        <v>19</v>
      </c>
      <c r="E25" s="4">
        <v>29728</v>
      </c>
      <c r="F25" t="s">
        <v>18</v>
      </c>
      <c r="G25" t="s">
        <v>0</v>
      </c>
      <c r="H25" s="4">
        <v>38050</v>
      </c>
      <c r="I25" s="3">
        <v>6600000</v>
      </c>
      <c r="J25" s="5">
        <v>1050000</v>
      </c>
      <c r="K25" s="2"/>
    </row>
    <row r="26" spans="1:11" x14ac:dyDescent="0.25">
      <c r="A26" t="s">
        <v>17</v>
      </c>
      <c r="B26" t="s">
        <v>16</v>
      </c>
      <c r="C26" t="s">
        <v>15</v>
      </c>
      <c r="D26" t="s">
        <v>14</v>
      </c>
      <c r="E26" s="4">
        <v>29298</v>
      </c>
      <c r="F26" t="s">
        <v>13</v>
      </c>
      <c r="G26" t="s">
        <v>12</v>
      </c>
      <c r="H26" s="4">
        <v>40358</v>
      </c>
      <c r="I26" s="3">
        <v>6900000</v>
      </c>
      <c r="J26" s="3">
        <v>1100000</v>
      </c>
      <c r="K26" s="2"/>
    </row>
    <row r="27" spans="1:11" x14ac:dyDescent="0.25">
      <c r="A27" t="s">
        <v>11</v>
      </c>
      <c r="B27" t="s">
        <v>10</v>
      </c>
      <c r="C27" t="s">
        <v>9</v>
      </c>
      <c r="D27" t="s">
        <v>8</v>
      </c>
      <c r="E27" s="4">
        <v>30841</v>
      </c>
      <c r="F27" t="s">
        <v>7</v>
      </c>
      <c r="G27" t="s">
        <v>6</v>
      </c>
      <c r="H27" s="4">
        <v>42507</v>
      </c>
      <c r="I27" s="3">
        <v>7200000</v>
      </c>
      <c r="J27" s="5">
        <v>1150000</v>
      </c>
      <c r="K27" s="2"/>
    </row>
    <row r="28" spans="1:11" x14ac:dyDescent="0.25">
      <c r="A28" t="s">
        <v>5</v>
      </c>
      <c r="B28" t="s">
        <v>4</v>
      </c>
      <c r="C28" t="s">
        <v>3</v>
      </c>
      <c r="D28" t="s">
        <v>2</v>
      </c>
      <c r="E28" s="4">
        <v>29919</v>
      </c>
      <c r="F28" t="s">
        <v>1</v>
      </c>
      <c r="G28" t="s">
        <v>0</v>
      </c>
      <c r="H28" s="4">
        <v>39917</v>
      </c>
      <c r="I28" s="3">
        <v>7500000</v>
      </c>
      <c r="J28" s="3">
        <v>1200000</v>
      </c>
      <c r="K28" s="2"/>
    </row>
    <row r="29" spans="1:11" x14ac:dyDescent="0.25">
      <c r="I29" s="1"/>
      <c r="J29" s="1"/>
    </row>
  </sheetData>
  <pageMargins left="0.7" right="0.7" top="0.75" bottom="0.75" header="0.3" footer="0.3"/>
  <pageSetup paperSize="9" orientation="portrait" horizontalDpi="0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99A2-6F86-4415-9E35-DD61F5D5F29C}">
  <dimension ref="A3:B4"/>
  <sheetViews>
    <sheetView workbookViewId="0">
      <selection activeCell="A3" sqref="A3"/>
    </sheetView>
  </sheetViews>
  <sheetFormatPr baseColWidth="10" defaultRowHeight="15" x14ac:dyDescent="0.25"/>
  <cols>
    <col min="1" max="1" width="15.140625" bestFit="1" customWidth="1"/>
    <col min="2" max="2" width="20" bestFit="1" customWidth="1"/>
  </cols>
  <sheetData>
    <row r="3" spans="1:2" x14ac:dyDescent="0.25">
      <c r="A3" t="s">
        <v>123</v>
      </c>
      <c r="B3" t="s">
        <v>127</v>
      </c>
    </row>
    <row r="4" spans="1:2" x14ac:dyDescent="0.25">
      <c r="A4" s="10">
        <v>95700000</v>
      </c>
      <c r="B4" s="10">
        <v>14850000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5F79-842C-423E-AE78-0020AEFFB099}">
  <dimension ref="A3:B8"/>
  <sheetViews>
    <sheetView workbookViewId="0">
      <selection activeCell="A3" sqref="A3"/>
    </sheetView>
  </sheetViews>
  <sheetFormatPr baseColWidth="10" defaultRowHeight="15" x14ac:dyDescent="0.25"/>
  <cols>
    <col min="1" max="1" width="19.140625" bestFit="1" customWidth="1"/>
    <col min="2" max="2" width="20.5703125" bestFit="1" customWidth="1"/>
    <col min="3" max="3" width="20.140625" bestFit="1" customWidth="1"/>
  </cols>
  <sheetData>
    <row r="3" spans="1:2" x14ac:dyDescent="0.25">
      <c r="A3" s="17" t="s">
        <v>121</v>
      </c>
      <c r="B3" s="14" t="s">
        <v>129</v>
      </c>
    </row>
    <row r="4" spans="1:2" x14ac:dyDescent="0.25">
      <c r="A4" s="13" t="s">
        <v>52</v>
      </c>
      <c r="B4" s="14">
        <v>2800000</v>
      </c>
    </row>
    <row r="5" spans="1:2" x14ac:dyDescent="0.25">
      <c r="A5" s="13" t="s">
        <v>0</v>
      </c>
      <c r="B5" s="14">
        <v>5571428.5714285718</v>
      </c>
    </row>
    <row r="6" spans="1:2" x14ac:dyDescent="0.25">
      <c r="A6" s="13" t="s">
        <v>6</v>
      </c>
      <c r="B6" s="14">
        <v>4680000</v>
      </c>
    </row>
    <row r="7" spans="1:2" x14ac:dyDescent="0.25">
      <c r="A7" s="13" t="s">
        <v>12</v>
      </c>
      <c r="B7" s="14">
        <v>4125000</v>
      </c>
    </row>
    <row r="8" spans="1:2" x14ac:dyDescent="0.25">
      <c r="A8" s="13" t="s">
        <v>122</v>
      </c>
      <c r="B8" s="14">
        <v>4350000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zoomScale="90" zoomScaleNormal="90" workbookViewId="0">
      <selection activeCell="A6" sqref="A6:J28"/>
    </sheetView>
  </sheetViews>
  <sheetFormatPr baseColWidth="10" defaultRowHeight="15" x14ac:dyDescent="0.25"/>
  <cols>
    <col min="1" max="1" width="10.140625" bestFit="1" customWidth="1"/>
    <col min="2" max="2" width="12.42578125" bestFit="1" customWidth="1"/>
    <col min="3" max="3" width="12.85546875" bestFit="1" customWidth="1"/>
    <col min="4" max="4" width="17.28515625" bestFit="1" customWidth="1"/>
    <col min="5" max="5" width="13.28515625" bestFit="1" customWidth="1"/>
    <col min="6" max="6" width="17.85546875" bestFit="1" customWidth="1"/>
    <col min="7" max="7" width="12.7109375" customWidth="1"/>
    <col min="8" max="8" width="11.5703125" bestFit="1" customWidth="1"/>
    <col min="9" max="10" width="15.42578125" bestFit="1" customWidth="1"/>
    <col min="11" max="12" width="10.28515625" customWidth="1"/>
  </cols>
  <sheetData>
    <row r="1" spans="1:11" ht="18.75" customHeight="1" x14ac:dyDescent="0.25"/>
    <row r="2" spans="1:11" ht="18.75" customHeight="1" x14ac:dyDescent="0.25"/>
    <row r="3" spans="1:11" ht="18.75" customHeight="1" x14ac:dyDescent="0.25"/>
    <row r="4" spans="1:11" ht="18.75" customHeight="1" x14ac:dyDescent="0.25"/>
    <row r="5" spans="1:11" ht="18.75" customHeight="1" x14ac:dyDescent="0.25"/>
    <row r="6" spans="1:11" x14ac:dyDescent="0.25">
      <c r="A6" s="6" t="s">
        <v>106</v>
      </c>
      <c r="B6" s="6" t="s">
        <v>105</v>
      </c>
      <c r="C6" s="6" t="s">
        <v>104</v>
      </c>
      <c r="D6" s="6" t="s">
        <v>103</v>
      </c>
      <c r="E6" s="6" t="s">
        <v>102</v>
      </c>
      <c r="F6" s="6" t="s">
        <v>101</v>
      </c>
      <c r="G6" s="6" t="s">
        <v>100</v>
      </c>
      <c r="H6" s="6" t="s">
        <v>99</v>
      </c>
      <c r="I6" s="6" t="s">
        <v>98</v>
      </c>
      <c r="J6" s="6" t="s">
        <v>97</v>
      </c>
    </row>
    <row r="7" spans="1:11" x14ac:dyDescent="0.25">
      <c r="A7" t="s">
        <v>96</v>
      </c>
      <c r="B7" t="s">
        <v>95</v>
      </c>
      <c r="C7" t="s">
        <v>94</v>
      </c>
      <c r="D7" t="s">
        <v>93</v>
      </c>
      <c r="E7" s="4">
        <v>29890</v>
      </c>
      <c r="F7" t="s">
        <v>7</v>
      </c>
      <c r="G7" t="s">
        <v>12</v>
      </c>
      <c r="H7" s="4">
        <v>36544</v>
      </c>
      <c r="I7" s="3">
        <v>1200000</v>
      </c>
      <c r="J7" s="5">
        <v>150000</v>
      </c>
      <c r="K7" s="2"/>
    </row>
    <row r="8" spans="1:11" x14ac:dyDescent="0.25">
      <c r="A8" t="s">
        <v>92</v>
      </c>
      <c r="B8" t="s">
        <v>91</v>
      </c>
      <c r="C8" t="s">
        <v>90</v>
      </c>
      <c r="D8" t="s">
        <v>89</v>
      </c>
      <c r="E8" s="4">
        <v>30193</v>
      </c>
      <c r="F8" t="s">
        <v>7</v>
      </c>
      <c r="G8" t="s">
        <v>52</v>
      </c>
      <c r="H8" s="4">
        <v>40097</v>
      </c>
      <c r="I8" s="3">
        <v>1500000</v>
      </c>
      <c r="J8" s="3">
        <v>200000</v>
      </c>
      <c r="K8" s="2"/>
    </row>
    <row r="9" spans="1:11" x14ac:dyDescent="0.25">
      <c r="A9" t="s">
        <v>88</v>
      </c>
      <c r="B9" t="s">
        <v>87</v>
      </c>
      <c r="C9" t="s">
        <v>86</v>
      </c>
      <c r="D9" t="s">
        <v>85</v>
      </c>
      <c r="E9" s="4">
        <v>29690</v>
      </c>
      <c r="F9" t="s">
        <v>18</v>
      </c>
      <c r="G9" t="s">
        <v>52</v>
      </c>
      <c r="H9" s="4"/>
      <c r="I9" s="3">
        <v>1800000</v>
      </c>
      <c r="J9" s="5">
        <v>250000</v>
      </c>
      <c r="K9" s="2"/>
    </row>
    <row r="10" spans="1:11" x14ac:dyDescent="0.25">
      <c r="A10" t="s">
        <v>84</v>
      </c>
      <c r="B10" t="s">
        <v>83</v>
      </c>
      <c r="C10" t="s">
        <v>82</v>
      </c>
      <c r="D10" t="s">
        <v>81</v>
      </c>
      <c r="E10" s="4">
        <v>30863</v>
      </c>
      <c r="F10" t="s">
        <v>13</v>
      </c>
      <c r="G10" t="s">
        <v>6</v>
      </c>
      <c r="H10" s="4">
        <v>39645</v>
      </c>
      <c r="I10" s="3">
        <v>2100000</v>
      </c>
      <c r="J10" s="3">
        <v>300000</v>
      </c>
      <c r="K10" s="2"/>
    </row>
    <row r="11" spans="1:11" x14ac:dyDescent="0.25">
      <c r="A11" t="s">
        <v>80</v>
      </c>
      <c r="B11" t="s">
        <v>79</v>
      </c>
      <c r="C11" t="s">
        <v>78</v>
      </c>
      <c r="D11" t="s">
        <v>77</v>
      </c>
      <c r="E11" s="4">
        <v>30677</v>
      </c>
      <c r="F11" t="s">
        <v>39</v>
      </c>
      <c r="G11" t="s">
        <v>0</v>
      </c>
      <c r="H11" s="4">
        <v>40671</v>
      </c>
      <c r="I11" s="3">
        <v>2400000</v>
      </c>
      <c r="J11" s="5">
        <v>350000</v>
      </c>
      <c r="K11" s="2"/>
    </row>
    <row r="12" spans="1:11" x14ac:dyDescent="0.25">
      <c r="A12" t="s">
        <v>76</v>
      </c>
      <c r="B12" t="s">
        <v>75</v>
      </c>
      <c r="C12" t="s">
        <v>74</v>
      </c>
      <c r="D12" t="s">
        <v>73</v>
      </c>
      <c r="E12" s="4">
        <v>30826</v>
      </c>
      <c r="F12" t="s">
        <v>18</v>
      </c>
      <c r="G12" t="s">
        <v>52</v>
      </c>
      <c r="H12" s="4"/>
      <c r="I12" s="3">
        <v>2700000</v>
      </c>
      <c r="J12" s="3">
        <v>400000</v>
      </c>
      <c r="K12" s="2"/>
    </row>
    <row r="13" spans="1:11" x14ac:dyDescent="0.25">
      <c r="A13" t="s">
        <v>72</v>
      </c>
      <c r="B13" t="s">
        <v>71</v>
      </c>
      <c r="C13" t="s">
        <v>70</v>
      </c>
      <c r="D13" t="s">
        <v>69</v>
      </c>
      <c r="E13" s="4">
        <v>30848</v>
      </c>
      <c r="F13" t="s">
        <v>1</v>
      </c>
      <c r="G13" t="s">
        <v>52</v>
      </c>
      <c r="H13" s="4">
        <v>40200</v>
      </c>
      <c r="I13" s="3">
        <v>3000000</v>
      </c>
      <c r="J13" s="5">
        <v>450000</v>
      </c>
      <c r="K13" s="2"/>
    </row>
    <row r="14" spans="1:11" x14ac:dyDescent="0.25">
      <c r="A14" t="s">
        <v>68</v>
      </c>
      <c r="B14" t="s">
        <v>67</v>
      </c>
      <c r="C14" t="s">
        <v>66</v>
      </c>
      <c r="D14" t="s">
        <v>65</v>
      </c>
      <c r="E14" s="4">
        <v>29998</v>
      </c>
      <c r="F14" t="s">
        <v>18</v>
      </c>
      <c r="G14" t="s">
        <v>12</v>
      </c>
      <c r="H14" s="4">
        <v>43064</v>
      </c>
      <c r="I14" s="3">
        <v>3300000</v>
      </c>
      <c r="J14" s="3">
        <v>500000</v>
      </c>
      <c r="K14" s="2"/>
    </row>
    <row r="15" spans="1:11" x14ac:dyDescent="0.25">
      <c r="A15" t="s">
        <v>64</v>
      </c>
      <c r="B15" t="s">
        <v>63</v>
      </c>
      <c r="C15" t="s">
        <v>62</v>
      </c>
      <c r="D15" t="s">
        <v>61</v>
      </c>
      <c r="E15" s="4">
        <v>29691</v>
      </c>
      <c r="F15" t="s">
        <v>1</v>
      </c>
      <c r="G15" t="s">
        <v>52</v>
      </c>
      <c r="H15" s="4">
        <v>40755</v>
      </c>
      <c r="I15" s="3">
        <v>3600000</v>
      </c>
      <c r="J15" s="5">
        <v>550000</v>
      </c>
      <c r="K15" s="2"/>
    </row>
    <row r="16" spans="1:11" x14ac:dyDescent="0.25">
      <c r="A16" t="s">
        <v>60</v>
      </c>
      <c r="B16" t="s">
        <v>59</v>
      </c>
      <c r="C16" t="s">
        <v>58</v>
      </c>
      <c r="D16" t="s">
        <v>57</v>
      </c>
      <c r="E16" s="4">
        <v>30979</v>
      </c>
      <c r="F16" t="s">
        <v>18</v>
      </c>
      <c r="G16" t="s">
        <v>6</v>
      </c>
      <c r="H16" s="4"/>
      <c r="I16" s="3">
        <v>3900000</v>
      </c>
      <c r="J16" s="3">
        <v>600000</v>
      </c>
      <c r="K16" s="2"/>
    </row>
    <row r="17" spans="1:11" x14ac:dyDescent="0.25">
      <c r="A17" t="s">
        <v>56</v>
      </c>
      <c r="B17" t="s">
        <v>55</v>
      </c>
      <c r="C17" t="s">
        <v>54</v>
      </c>
      <c r="D17" t="s">
        <v>53</v>
      </c>
      <c r="E17" s="4">
        <v>29336</v>
      </c>
      <c r="F17" t="s">
        <v>1</v>
      </c>
      <c r="G17" t="s">
        <v>52</v>
      </c>
      <c r="H17" s="4">
        <v>37646</v>
      </c>
      <c r="I17" s="3">
        <v>4200000</v>
      </c>
      <c r="J17" s="5">
        <v>650000</v>
      </c>
      <c r="K17" s="2"/>
    </row>
    <row r="18" spans="1:11" x14ac:dyDescent="0.25">
      <c r="A18" t="s">
        <v>51</v>
      </c>
      <c r="B18" t="s">
        <v>50</v>
      </c>
      <c r="C18" t="s">
        <v>49</v>
      </c>
      <c r="D18" t="s">
        <v>48</v>
      </c>
      <c r="E18" s="4">
        <v>30594</v>
      </c>
      <c r="F18" t="s">
        <v>18</v>
      </c>
      <c r="G18" t="s">
        <v>6</v>
      </c>
      <c r="H18" s="4"/>
      <c r="I18" s="3">
        <v>4500000</v>
      </c>
      <c r="J18" s="3">
        <v>700000</v>
      </c>
      <c r="K18" s="2"/>
    </row>
    <row r="19" spans="1:11" x14ac:dyDescent="0.25">
      <c r="A19" t="s">
        <v>47</v>
      </c>
      <c r="B19" t="s">
        <v>46</v>
      </c>
      <c r="C19" t="s">
        <v>45</v>
      </c>
      <c r="D19" t="s">
        <v>44</v>
      </c>
      <c r="E19" s="4">
        <v>30480</v>
      </c>
      <c r="F19" t="s">
        <v>7</v>
      </c>
      <c r="G19" t="s">
        <v>0</v>
      </c>
      <c r="H19" s="4">
        <v>38293</v>
      </c>
      <c r="I19" s="3">
        <v>4800000</v>
      </c>
      <c r="J19" s="5">
        <v>750000</v>
      </c>
      <c r="K19" s="2"/>
    </row>
    <row r="20" spans="1:11" x14ac:dyDescent="0.25">
      <c r="A20" t="s">
        <v>43</v>
      </c>
      <c r="B20" t="s">
        <v>42</v>
      </c>
      <c r="C20" t="s">
        <v>41</v>
      </c>
      <c r="D20" t="s">
        <v>40</v>
      </c>
      <c r="E20" s="4">
        <v>30899</v>
      </c>
      <c r="F20" t="s">
        <v>39</v>
      </c>
      <c r="G20" t="s">
        <v>12</v>
      </c>
      <c r="H20" s="4">
        <v>39156</v>
      </c>
      <c r="I20" s="3">
        <v>5100000</v>
      </c>
      <c r="J20" s="3">
        <v>800000</v>
      </c>
      <c r="K20" s="2"/>
    </row>
    <row r="21" spans="1:11" x14ac:dyDescent="0.25">
      <c r="A21" t="s">
        <v>38</v>
      </c>
      <c r="B21" t="s">
        <v>37</v>
      </c>
      <c r="C21" t="s">
        <v>36</v>
      </c>
      <c r="D21" t="s">
        <v>35</v>
      </c>
      <c r="E21" s="4">
        <v>29362</v>
      </c>
      <c r="F21" t="s">
        <v>1</v>
      </c>
      <c r="G21" t="s">
        <v>0</v>
      </c>
      <c r="H21" s="4">
        <v>38477</v>
      </c>
      <c r="I21" s="3">
        <v>5400000</v>
      </c>
      <c r="J21" s="5">
        <v>850000</v>
      </c>
      <c r="K21" s="2"/>
    </row>
    <row r="22" spans="1:11" x14ac:dyDescent="0.25">
      <c r="A22" t="s">
        <v>34</v>
      </c>
      <c r="B22" t="s">
        <v>33</v>
      </c>
      <c r="C22" t="s">
        <v>32</v>
      </c>
      <c r="D22" t="s">
        <v>31</v>
      </c>
      <c r="E22" s="4">
        <v>29485</v>
      </c>
      <c r="F22" t="s">
        <v>1</v>
      </c>
      <c r="G22" t="s">
        <v>6</v>
      </c>
      <c r="H22" s="4">
        <v>38677</v>
      </c>
      <c r="I22" s="3">
        <v>5700000</v>
      </c>
      <c r="J22" s="3">
        <v>900000</v>
      </c>
      <c r="K22" s="2"/>
    </row>
    <row r="23" spans="1:11" x14ac:dyDescent="0.25">
      <c r="A23" t="s">
        <v>30</v>
      </c>
      <c r="B23" t="s">
        <v>29</v>
      </c>
      <c r="C23" t="s">
        <v>28</v>
      </c>
      <c r="D23" t="s">
        <v>27</v>
      </c>
      <c r="E23" s="4">
        <v>29266</v>
      </c>
      <c r="F23" t="s">
        <v>7</v>
      </c>
      <c r="G23" t="s">
        <v>0</v>
      </c>
      <c r="H23" s="4"/>
      <c r="I23" s="3">
        <v>6000000</v>
      </c>
      <c r="J23" s="5">
        <v>950000</v>
      </c>
      <c r="K23" s="2"/>
    </row>
    <row r="24" spans="1:11" x14ac:dyDescent="0.25">
      <c r="A24" t="s">
        <v>26</v>
      </c>
      <c r="B24" t="s">
        <v>25</v>
      </c>
      <c r="C24" t="s">
        <v>24</v>
      </c>
      <c r="D24" t="s">
        <v>23</v>
      </c>
      <c r="E24" s="4">
        <v>29762</v>
      </c>
      <c r="F24" t="s">
        <v>18</v>
      </c>
      <c r="G24" t="s">
        <v>0</v>
      </c>
      <c r="H24" s="4">
        <v>38338</v>
      </c>
      <c r="I24" s="3">
        <v>6300000</v>
      </c>
      <c r="J24" s="3">
        <v>1000000</v>
      </c>
      <c r="K24" s="2"/>
    </row>
    <row r="25" spans="1:11" x14ac:dyDescent="0.25">
      <c r="A25" t="s">
        <v>22</v>
      </c>
      <c r="B25" t="s">
        <v>21</v>
      </c>
      <c r="C25" t="s">
        <v>20</v>
      </c>
      <c r="D25" t="s">
        <v>19</v>
      </c>
      <c r="E25" s="4">
        <v>29728</v>
      </c>
      <c r="F25" t="s">
        <v>18</v>
      </c>
      <c r="G25" t="s">
        <v>0</v>
      </c>
      <c r="H25" s="4">
        <v>38050</v>
      </c>
      <c r="I25" s="3">
        <v>6600000</v>
      </c>
      <c r="J25" s="5">
        <v>1050000</v>
      </c>
      <c r="K25" s="2"/>
    </row>
    <row r="26" spans="1:11" x14ac:dyDescent="0.25">
      <c r="A26" t="s">
        <v>17</v>
      </c>
      <c r="B26" t="s">
        <v>16</v>
      </c>
      <c r="C26" t="s">
        <v>15</v>
      </c>
      <c r="D26" t="s">
        <v>14</v>
      </c>
      <c r="E26" s="4">
        <v>29298</v>
      </c>
      <c r="F26" t="s">
        <v>13</v>
      </c>
      <c r="G26" t="s">
        <v>12</v>
      </c>
      <c r="H26" s="4">
        <v>40358</v>
      </c>
      <c r="I26" s="3">
        <v>6900000</v>
      </c>
      <c r="J26" s="3">
        <v>1100000</v>
      </c>
      <c r="K26" s="2"/>
    </row>
    <row r="27" spans="1:11" x14ac:dyDescent="0.25">
      <c r="A27" t="s">
        <v>11</v>
      </c>
      <c r="B27" t="s">
        <v>10</v>
      </c>
      <c r="C27" t="s">
        <v>9</v>
      </c>
      <c r="D27" t="s">
        <v>8</v>
      </c>
      <c r="E27" s="4">
        <v>30841</v>
      </c>
      <c r="F27" t="s">
        <v>7</v>
      </c>
      <c r="G27" t="s">
        <v>6</v>
      </c>
      <c r="H27" s="4">
        <v>42507</v>
      </c>
      <c r="I27" s="3">
        <v>7200000</v>
      </c>
      <c r="J27" s="5">
        <v>1150000</v>
      </c>
      <c r="K27" s="2"/>
    </row>
    <row r="28" spans="1:11" x14ac:dyDescent="0.25">
      <c r="A28" t="s">
        <v>5</v>
      </c>
      <c r="B28" t="s">
        <v>4</v>
      </c>
      <c r="C28" t="s">
        <v>3</v>
      </c>
      <c r="D28" t="s">
        <v>2</v>
      </c>
      <c r="E28" s="4">
        <v>29919</v>
      </c>
      <c r="F28" t="s">
        <v>1</v>
      </c>
      <c r="G28" t="s">
        <v>0</v>
      </c>
      <c r="H28" s="4">
        <v>39917</v>
      </c>
      <c r="I28" s="3">
        <v>7500000</v>
      </c>
      <c r="J28" s="3">
        <v>1200000</v>
      </c>
      <c r="K28" s="2"/>
    </row>
    <row r="29" spans="1:11" x14ac:dyDescent="0.25">
      <c r="I29" s="1"/>
      <c r="J29" s="1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FF9A-7FCF-4181-BF6F-EFA053DC43C5}">
  <dimension ref="A3:B20"/>
  <sheetViews>
    <sheetView workbookViewId="0">
      <selection activeCell="A3" sqref="A3"/>
    </sheetView>
  </sheetViews>
  <sheetFormatPr baseColWidth="10" defaultRowHeight="15" x14ac:dyDescent="0.25"/>
  <cols>
    <col min="1" max="1" width="14.140625" bestFit="1" customWidth="1"/>
    <col min="2" max="2" width="16.7109375" bestFit="1" customWidth="1"/>
    <col min="3" max="3" width="13.42578125" bestFit="1" customWidth="1"/>
  </cols>
  <sheetData>
    <row r="3" spans="1:2" x14ac:dyDescent="0.25">
      <c r="A3" s="8" t="s">
        <v>100</v>
      </c>
      <c r="B3" t="s">
        <v>130</v>
      </c>
    </row>
    <row r="4" spans="1:2" x14ac:dyDescent="0.25">
      <c r="A4" s="9" t="s">
        <v>52</v>
      </c>
      <c r="B4" s="10">
        <v>6</v>
      </c>
    </row>
    <row r="5" spans="1:2" x14ac:dyDescent="0.25">
      <c r="A5" s="11" t="s">
        <v>107</v>
      </c>
      <c r="B5" s="10">
        <v>1</v>
      </c>
    </row>
    <row r="6" spans="1:2" x14ac:dyDescent="0.25">
      <c r="A6" s="11" t="s">
        <v>112</v>
      </c>
      <c r="B6" s="10">
        <v>1</v>
      </c>
    </row>
    <row r="7" spans="1:2" x14ac:dyDescent="0.25">
      <c r="A7" s="11" t="s">
        <v>109</v>
      </c>
      <c r="B7" s="10">
        <v>1</v>
      </c>
    </row>
    <row r="8" spans="1:2" x14ac:dyDescent="0.25">
      <c r="A8" s="11" t="s">
        <v>111</v>
      </c>
      <c r="B8" s="10">
        <v>3</v>
      </c>
    </row>
    <row r="9" spans="1:2" x14ac:dyDescent="0.25">
      <c r="A9" s="9" t="s">
        <v>0</v>
      </c>
      <c r="B9" s="10">
        <v>7</v>
      </c>
    </row>
    <row r="10" spans="1:2" x14ac:dyDescent="0.25">
      <c r="A10" s="11" t="s">
        <v>107</v>
      </c>
      <c r="B10" s="10">
        <v>4</v>
      </c>
    </row>
    <row r="11" spans="1:2" x14ac:dyDescent="0.25">
      <c r="A11" s="11" t="s">
        <v>109</v>
      </c>
      <c r="B11" s="10">
        <v>2</v>
      </c>
    </row>
    <row r="12" spans="1:2" x14ac:dyDescent="0.25">
      <c r="A12" s="11" t="s">
        <v>111</v>
      </c>
      <c r="B12" s="10">
        <v>1</v>
      </c>
    </row>
    <row r="13" spans="1:2" x14ac:dyDescent="0.25">
      <c r="A13" s="9" t="s">
        <v>6</v>
      </c>
      <c r="B13" s="10">
        <v>5</v>
      </c>
    </row>
    <row r="14" spans="1:2" x14ac:dyDescent="0.25">
      <c r="A14" s="11" t="s">
        <v>112</v>
      </c>
      <c r="B14" s="10">
        <v>3</v>
      </c>
    </row>
    <row r="15" spans="1:2" x14ac:dyDescent="0.25">
      <c r="A15" s="11" t="s">
        <v>109</v>
      </c>
      <c r="B15" s="10">
        <v>2</v>
      </c>
    </row>
    <row r="16" spans="1:2" x14ac:dyDescent="0.25">
      <c r="A16" s="9" t="s">
        <v>12</v>
      </c>
      <c r="B16" s="10">
        <v>4</v>
      </c>
    </row>
    <row r="17" spans="1:2" x14ac:dyDescent="0.25">
      <c r="A17" s="11" t="s">
        <v>107</v>
      </c>
      <c r="B17" s="10">
        <v>1</v>
      </c>
    </row>
    <row r="18" spans="1:2" x14ac:dyDescent="0.25">
      <c r="A18" s="11" t="s">
        <v>109</v>
      </c>
      <c r="B18" s="10">
        <v>2</v>
      </c>
    </row>
    <row r="19" spans="1:2" x14ac:dyDescent="0.25">
      <c r="A19" s="11" t="s">
        <v>111</v>
      </c>
      <c r="B19" s="10">
        <v>1</v>
      </c>
    </row>
    <row r="20" spans="1:2" x14ac:dyDescent="0.25">
      <c r="A20" s="9" t="s">
        <v>122</v>
      </c>
      <c r="B20" s="10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9"/>
  <sheetViews>
    <sheetView zoomScale="90" zoomScaleNormal="90" workbookViewId="0">
      <selection activeCell="A6" sqref="A6:M28"/>
    </sheetView>
  </sheetViews>
  <sheetFormatPr baseColWidth="10" defaultRowHeight="15" x14ac:dyDescent="0.25"/>
  <cols>
    <col min="1" max="1" width="10.140625" bestFit="1" customWidth="1"/>
    <col min="2" max="2" width="12.42578125" bestFit="1" customWidth="1"/>
    <col min="3" max="3" width="12.85546875" bestFit="1" customWidth="1"/>
    <col min="4" max="4" width="17.28515625" bestFit="1" customWidth="1"/>
    <col min="5" max="5" width="5.28515625" style="7" bestFit="1" customWidth="1"/>
    <col min="6" max="6" width="13.28515625" bestFit="1" customWidth="1"/>
    <col min="7" max="7" width="11.140625" bestFit="1" customWidth="1"/>
    <col min="8" max="8" width="5.42578125" bestFit="1" customWidth="1"/>
    <col min="9" max="9" width="17.7109375" bestFit="1" customWidth="1"/>
    <col min="10" max="10" width="12.7109375" customWidth="1"/>
    <col min="11" max="11" width="11.5703125" bestFit="1" customWidth="1"/>
    <col min="12" max="13" width="15.42578125" bestFit="1" customWidth="1"/>
    <col min="14" max="15" width="10.28515625" customWidth="1"/>
  </cols>
  <sheetData>
    <row r="1" spans="1:14" ht="18.75" customHeight="1" x14ac:dyDescent="0.25"/>
    <row r="2" spans="1:14" ht="18.75" customHeight="1" x14ac:dyDescent="0.25"/>
    <row r="3" spans="1:14" ht="18.75" customHeight="1" x14ac:dyDescent="0.25"/>
    <row r="4" spans="1:14" ht="18.75" customHeight="1" x14ac:dyDescent="0.25"/>
    <row r="5" spans="1:14" ht="18.75" customHeight="1" x14ac:dyDescent="0.25"/>
    <row r="6" spans="1:14" x14ac:dyDescent="0.25">
      <c r="A6" s="6" t="s">
        <v>106</v>
      </c>
      <c r="B6" s="6" t="s">
        <v>105</v>
      </c>
      <c r="C6" s="6" t="s">
        <v>104</v>
      </c>
      <c r="D6" s="6" t="s">
        <v>103</v>
      </c>
      <c r="E6" s="6" t="s">
        <v>115</v>
      </c>
      <c r="F6" s="6" t="s">
        <v>102</v>
      </c>
      <c r="G6" s="6" t="s">
        <v>114</v>
      </c>
      <c r="H6" s="6" t="s">
        <v>113</v>
      </c>
      <c r="I6" s="6" t="s">
        <v>101</v>
      </c>
      <c r="J6" s="6" t="s">
        <v>100</v>
      </c>
      <c r="K6" s="6" t="s">
        <v>99</v>
      </c>
      <c r="L6" s="6" t="s">
        <v>98</v>
      </c>
      <c r="M6" s="6" t="s">
        <v>97</v>
      </c>
    </row>
    <row r="7" spans="1:14" x14ac:dyDescent="0.25">
      <c r="A7" t="s">
        <v>96</v>
      </c>
      <c r="B7" t="s">
        <v>95</v>
      </c>
      <c r="C7" t="s">
        <v>94</v>
      </c>
      <c r="D7" t="s">
        <v>93</v>
      </c>
      <c r="E7" s="7" t="s">
        <v>110</v>
      </c>
      <c r="F7" s="4">
        <v>29890</v>
      </c>
      <c r="G7" s="4" t="s">
        <v>111</v>
      </c>
      <c r="H7" s="7">
        <v>1</v>
      </c>
      <c r="I7" t="s">
        <v>7</v>
      </c>
      <c r="J7" t="s">
        <v>12</v>
      </c>
      <c r="K7" s="4">
        <v>36544</v>
      </c>
      <c r="L7" s="3">
        <v>1200000</v>
      </c>
      <c r="M7" s="5">
        <v>150000</v>
      </c>
      <c r="N7" s="2"/>
    </row>
    <row r="8" spans="1:14" x14ac:dyDescent="0.25">
      <c r="A8" t="s">
        <v>92</v>
      </c>
      <c r="B8" t="s">
        <v>91</v>
      </c>
      <c r="C8" t="s">
        <v>90</v>
      </c>
      <c r="D8" t="s">
        <v>89</v>
      </c>
      <c r="E8" s="7" t="s">
        <v>110</v>
      </c>
      <c r="F8" s="4">
        <v>30193</v>
      </c>
      <c r="G8" s="4" t="s">
        <v>111</v>
      </c>
      <c r="H8" s="7">
        <v>2</v>
      </c>
      <c r="I8" t="s">
        <v>7</v>
      </c>
      <c r="J8" t="s">
        <v>52</v>
      </c>
      <c r="K8" s="4">
        <v>40097</v>
      </c>
      <c r="L8" s="3">
        <v>1500000</v>
      </c>
      <c r="M8" s="3">
        <v>200000</v>
      </c>
      <c r="N8" s="2"/>
    </row>
    <row r="9" spans="1:14" x14ac:dyDescent="0.25">
      <c r="A9" t="s">
        <v>88</v>
      </c>
      <c r="B9" t="s">
        <v>87</v>
      </c>
      <c r="C9" t="s">
        <v>86</v>
      </c>
      <c r="D9" t="s">
        <v>85</v>
      </c>
      <c r="E9" s="7" t="s">
        <v>110</v>
      </c>
      <c r="F9" s="4">
        <v>29690</v>
      </c>
      <c r="G9" s="4" t="s">
        <v>111</v>
      </c>
      <c r="H9" s="7">
        <v>4</v>
      </c>
      <c r="I9" t="s">
        <v>18</v>
      </c>
      <c r="J9" t="s">
        <v>52</v>
      </c>
      <c r="K9" s="4"/>
      <c r="L9" s="3">
        <v>1800000</v>
      </c>
      <c r="M9" s="5">
        <v>250000</v>
      </c>
      <c r="N9" s="2"/>
    </row>
    <row r="10" spans="1:14" x14ac:dyDescent="0.25">
      <c r="A10" t="s">
        <v>84</v>
      </c>
      <c r="B10" t="s">
        <v>83</v>
      </c>
      <c r="C10" t="s">
        <v>82</v>
      </c>
      <c r="D10" t="s">
        <v>81</v>
      </c>
      <c r="E10" s="7" t="s">
        <v>108</v>
      </c>
      <c r="F10" s="4">
        <v>30863</v>
      </c>
      <c r="G10" s="4" t="s">
        <v>109</v>
      </c>
      <c r="H10" s="7">
        <v>5</v>
      </c>
      <c r="I10" t="s">
        <v>13</v>
      </c>
      <c r="J10" t="s">
        <v>6</v>
      </c>
      <c r="K10" s="4">
        <v>39645</v>
      </c>
      <c r="L10" s="3">
        <v>2100000</v>
      </c>
      <c r="M10" s="3">
        <v>300000</v>
      </c>
      <c r="N10" s="2"/>
    </row>
    <row r="11" spans="1:14" x14ac:dyDescent="0.25">
      <c r="A11" t="s">
        <v>80</v>
      </c>
      <c r="B11" t="s">
        <v>79</v>
      </c>
      <c r="C11" t="s">
        <v>78</v>
      </c>
      <c r="D11" t="s">
        <v>77</v>
      </c>
      <c r="E11" s="7" t="s">
        <v>108</v>
      </c>
      <c r="F11" s="4">
        <v>30677</v>
      </c>
      <c r="G11" s="4" t="s">
        <v>107</v>
      </c>
      <c r="H11" s="7">
        <v>1</v>
      </c>
      <c r="I11" t="s">
        <v>39</v>
      </c>
      <c r="J11" t="s">
        <v>0</v>
      </c>
      <c r="K11" s="4">
        <v>40671</v>
      </c>
      <c r="L11" s="3">
        <v>2400000</v>
      </c>
      <c r="M11" s="5">
        <v>350000</v>
      </c>
      <c r="N11" s="2"/>
    </row>
    <row r="12" spans="1:14" x14ac:dyDescent="0.25">
      <c r="A12" t="s">
        <v>76</v>
      </c>
      <c r="B12" t="s">
        <v>75</v>
      </c>
      <c r="C12" t="s">
        <v>74</v>
      </c>
      <c r="D12" t="s">
        <v>73</v>
      </c>
      <c r="E12" s="7" t="s">
        <v>110</v>
      </c>
      <c r="F12" s="4">
        <v>30826</v>
      </c>
      <c r="G12" s="4" t="s">
        <v>111</v>
      </c>
      <c r="H12" s="7">
        <v>6</v>
      </c>
      <c r="I12" t="s">
        <v>18</v>
      </c>
      <c r="J12" t="s">
        <v>52</v>
      </c>
      <c r="K12" s="4"/>
      <c r="L12" s="3">
        <v>2700000</v>
      </c>
      <c r="M12" s="3">
        <v>400000</v>
      </c>
      <c r="N12" s="2"/>
    </row>
    <row r="13" spans="1:14" x14ac:dyDescent="0.25">
      <c r="A13" t="s">
        <v>72</v>
      </c>
      <c r="B13" t="s">
        <v>71</v>
      </c>
      <c r="C13" t="s">
        <v>70</v>
      </c>
      <c r="D13" t="s">
        <v>69</v>
      </c>
      <c r="E13" s="7" t="s">
        <v>110</v>
      </c>
      <c r="F13" s="4">
        <v>30848</v>
      </c>
      <c r="G13" s="4" t="s">
        <v>107</v>
      </c>
      <c r="H13" s="7">
        <v>3</v>
      </c>
      <c r="I13" t="s">
        <v>1</v>
      </c>
      <c r="J13" t="s">
        <v>52</v>
      </c>
      <c r="K13" s="4">
        <v>40200</v>
      </c>
      <c r="L13" s="3">
        <v>3000000</v>
      </c>
      <c r="M13" s="5">
        <v>450000</v>
      </c>
      <c r="N13" s="2"/>
    </row>
    <row r="14" spans="1:14" x14ac:dyDescent="0.25">
      <c r="A14" t="s">
        <v>68</v>
      </c>
      <c r="B14" t="s">
        <v>67</v>
      </c>
      <c r="C14" t="s">
        <v>66</v>
      </c>
      <c r="D14" t="s">
        <v>65</v>
      </c>
      <c r="E14" s="7" t="s">
        <v>110</v>
      </c>
      <c r="F14" s="4">
        <v>29998</v>
      </c>
      <c r="G14" s="4" t="s">
        <v>109</v>
      </c>
      <c r="H14" s="7">
        <v>5</v>
      </c>
      <c r="I14" t="s">
        <v>18</v>
      </c>
      <c r="J14" t="s">
        <v>12</v>
      </c>
      <c r="K14" s="4">
        <v>43064</v>
      </c>
      <c r="L14" s="3">
        <v>3300000</v>
      </c>
      <c r="M14" s="3">
        <v>500000</v>
      </c>
      <c r="N14" s="2"/>
    </row>
    <row r="15" spans="1:14" x14ac:dyDescent="0.25">
      <c r="A15" t="s">
        <v>64</v>
      </c>
      <c r="B15" t="s">
        <v>63</v>
      </c>
      <c r="C15" t="s">
        <v>62</v>
      </c>
      <c r="D15" t="s">
        <v>61</v>
      </c>
      <c r="E15" s="7" t="s">
        <v>110</v>
      </c>
      <c r="F15" s="4">
        <v>29691</v>
      </c>
      <c r="G15" s="4" t="s">
        <v>109</v>
      </c>
      <c r="H15" s="7">
        <v>6</v>
      </c>
      <c r="I15" t="s">
        <v>1</v>
      </c>
      <c r="J15" t="s">
        <v>52</v>
      </c>
      <c r="K15" s="4">
        <v>40755</v>
      </c>
      <c r="L15" s="3">
        <v>3600000</v>
      </c>
      <c r="M15" s="5">
        <v>550000</v>
      </c>
      <c r="N15" s="2"/>
    </row>
    <row r="16" spans="1:14" x14ac:dyDescent="0.25">
      <c r="A16" t="s">
        <v>60</v>
      </c>
      <c r="B16" t="s">
        <v>59</v>
      </c>
      <c r="C16" t="s">
        <v>58</v>
      </c>
      <c r="D16" t="s">
        <v>57</v>
      </c>
      <c r="E16" s="7" t="s">
        <v>110</v>
      </c>
      <c r="F16" s="4">
        <v>30979</v>
      </c>
      <c r="G16" s="4" t="s">
        <v>112</v>
      </c>
      <c r="H16" s="7">
        <v>6</v>
      </c>
      <c r="I16" t="s">
        <v>18</v>
      </c>
      <c r="J16" t="s">
        <v>6</v>
      </c>
      <c r="K16" s="4"/>
      <c r="L16" s="3">
        <v>3900000</v>
      </c>
      <c r="M16" s="3">
        <v>600000</v>
      </c>
      <c r="N16" s="2"/>
    </row>
    <row r="17" spans="1:14" x14ac:dyDescent="0.25">
      <c r="A17" t="s">
        <v>56</v>
      </c>
      <c r="B17" t="s">
        <v>55</v>
      </c>
      <c r="C17" t="s">
        <v>54</v>
      </c>
      <c r="D17" t="s">
        <v>53</v>
      </c>
      <c r="E17" s="7" t="s">
        <v>110</v>
      </c>
      <c r="F17" s="4">
        <v>29336</v>
      </c>
      <c r="G17" s="4" t="s">
        <v>112</v>
      </c>
      <c r="H17" s="7">
        <v>5</v>
      </c>
      <c r="I17" t="s">
        <v>1</v>
      </c>
      <c r="J17" t="s">
        <v>52</v>
      </c>
      <c r="K17" s="4">
        <v>37646</v>
      </c>
      <c r="L17" s="3">
        <v>4200000</v>
      </c>
      <c r="M17" s="5">
        <v>650000</v>
      </c>
      <c r="N17" s="2"/>
    </row>
    <row r="18" spans="1:14" x14ac:dyDescent="0.25">
      <c r="A18" t="s">
        <v>51</v>
      </c>
      <c r="B18" t="s">
        <v>50</v>
      </c>
      <c r="C18" t="s">
        <v>49</v>
      </c>
      <c r="D18" t="s">
        <v>48</v>
      </c>
      <c r="E18" s="7" t="s">
        <v>108</v>
      </c>
      <c r="F18" s="4">
        <v>30594</v>
      </c>
      <c r="G18" s="4" t="s">
        <v>112</v>
      </c>
      <c r="H18" s="7">
        <v>1</v>
      </c>
      <c r="I18" t="s">
        <v>18</v>
      </c>
      <c r="J18" t="s">
        <v>6</v>
      </c>
      <c r="K18" s="4"/>
      <c r="L18" s="3">
        <v>4500000</v>
      </c>
      <c r="M18" s="3">
        <v>700000</v>
      </c>
      <c r="N18" s="2"/>
    </row>
    <row r="19" spans="1:14" x14ac:dyDescent="0.25">
      <c r="A19" t="s">
        <v>47</v>
      </c>
      <c r="B19" t="s">
        <v>46</v>
      </c>
      <c r="C19" t="s">
        <v>45</v>
      </c>
      <c r="D19" t="s">
        <v>44</v>
      </c>
      <c r="E19" s="7" t="s">
        <v>108</v>
      </c>
      <c r="F19" s="4">
        <v>30480</v>
      </c>
      <c r="G19" s="4" t="s">
        <v>109</v>
      </c>
      <c r="H19" s="7">
        <v>4</v>
      </c>
      <c r="I19" t="s">
        <v>7</v>
      </c>
      <c r="J19" t="s">
        <v>0</v>
      </c>
      <c r="K19" s="4">
        <v>38293</v>
      </c>
      <c r="L19" s="3">
        <v>4800000</v>
      </c>
      <c r="M19" s="5">
        <v>750000</v>
      </c>
      <c r="N19" s="2"/>
    </row>
    <row r="20" spans="1:14" x14ac:dyDescent="0.25">
      <c r="A20" t="s">
        <v>43</v>
      </c>
      <c r="B20" t="s">
        <v>42</v>
      </c>
      <c r="C20" t="s">
        <v>41</v>
      </c>
      <c r="D20" t="s">
        <v>40</v>
      </c>
      <c r="E20" s="7" t="s">
        <v>110</v>
      </c>
      <c r="F20" s="4">
        <v>30899</v>
      </c>
      <c r="G20" s="4" t="s">
        <v>107</v>
      </c>
      <c r="H20" s="7">
        <v>0</v>
      </c>
      <c r="I20" t="s">
        <v>39</v>
      </c>
      <c r="J20" t="s">
        <v>12</v>
      </c>
      <c r="K20" s="4">
        <v>39156</v>
      </c>
      <c r="L20" s="3">
        <v>5100000</v>
      </c>
      <c r="M20" s="3">
        <v>800000</v>
      </c>
      <c r="N20" s="2"/>
    </row>
    <row r="21" spans="1:14" x14ac:dyDescent="0.25">
      <c r="A21" t="s">
        <v>38</v>
      </c>
      <c r="B21" t="s">
        <v>37</v>
      </c>
      <c r="C21" t="s">
        <v>36</v>
      </c>
      <c r="D21" t="s">
        <v>35</v>
      </c>
      <c r="E21" s="7" t="s">
        <v>110</v>
      </c>
      <c r="F21" s="4">
        <v>29362</v>
      </c>
      <c r="G21" s="4" t="s">
        <v>109</v>
      </c>
      <c r="H21" s="7">
        <v>6</v>
      </c>
      <c r="I21" t="s">
        <v>1</v>
      </c>
      <c r="J21" t="s">
        <v>0</v>
      </c>
      <c r="K21" s="4">
        <v>38477</v>
      </c>
      <c r="L21" s="3">
        <v>5400000</v>
      </c>
      <c r="M21" s="5">
        <v>850000</v>
      </c>
      <c r="N21" s="2"/>
    </row>
    <row r="22" spans="1:14" x14ac:dyDescent="0.25">
      <c r="A22" t="s">
        <v>34</v>
      </c>
      <c r="B22" t="s">
        <v>33</v>
      </c>
      <c r="C22" t="s">
        <v>32</v>
      </c>
      <c r="D22" t="s">
        <v>31</v>
      </c>
      <c r="E22" s="7" t="s">
        <v>108</v>
      </c>
      <c r="F22" s="4">
        <v>29485</v>
      </c>
      <c r="G22" s="4" t="s">
        <v>112</v>
      </c>
      <c r="H22" s="7">
        <v>1</v>
      </c>
      <c r="I22" t="s">
        <v>1</v>
      </c>
      <c r="J22" t="s">
        <v>6</v>
      </c>
      <c r="K22" s="4">
        <v>38677</v>
      </c>
      <c r="L22" s="3">
        <v>5700000</v>
      </c>
      <c r="M22" s="3">
        <v>900000</v>
      </c>
      <c r="N22" s="2"/>
    </row>
    <row r="23" spans="1:14" x14ac:dyDescent="0.25">
      <c r="A23" t="s">
        <v>30</v>
      </c>
      <c r="B23" t="s">
        <v>29</v>
      </c>
      <c r="C23" t="s">
        <v>28</v>
      </c>
      <c r="D23" t="s">
        <v>27</v>
      </c>
      <c r="E23" s="7" t="s">
        <v>110</v>
      </c>
      <c r="F23" s="4">
        <v>29266</v>
      </c>
      <c r="G23" s="4" t="s">
        <v>111</v>
      </c>
      <c r="H23" s="7">
        <v>0</v>
      </c>
      <c r="I23" t="s">
        <v>7</v>
      </c>
      <c r="J23" t="s">
        <v>0</v>
      </c>
      <c r="K23" s="4"/>
      <c r="L23" s="3">
        <v>6000000</v>
      </c>
      <c r="M23" s="5">
        <v>950000</v>
      </c>
      <c r="N23" s="2"/>
    </row>
    <row r="24" spans="1:14" x14ac:dyDescent="0.25">
      <c r="A24" t="s">
        <v>26</v>
      </c>
      <c r="B24" t="s">
        <v>25</v>
      </c>
      <c r="C24" t="s">
        <v>24</v>
      </c>
      <c r="D24" t="s">
        <v>23</v>
      </c>
      <c r="E24" s="7" t="s">
        <v>110</v>
      </c>
      <c r="F24" s="4">
        <v>29762</v>
      </c>
      <c r="G24" s="4" t="s">
        <v>107</v>
      </c>
      <c r="H24" s="7">
        <v>1</v>
      </c>
      <c r="I24" t="s">
        <v>18</v>
      </c>
      <c r="J24" t="s">
        <v>0</v>
      </c>
      <c r="K24" s="4">
        <v>38338</v>
      </c>
      <c r="L24" s="3">
        <v>6300000</v>
      </c>
      <c r="M24" s="3">
        <v>1000000</v>
      </c>
      <c r="N24" s="2"/>
    </row>
    <row r="25" spans="1:14" x14ac:dyDescent="0.25">
      <c r="A25" t="s">
        <v>22</v>
      </c>
      <c r="B25" t="s">
        <v>21</v>
      </c>
      <c r="C25" t="s">
        <v>20</v>
      </c>
      <c r="D25" t="s">
        <v>19</v>
      </c>
      <c r="E25" s="7" t="s">
        <v>110</v>
      </c>
      <c r="F25" s="4">
        <v>29728</v>
      </c>
      <c r="G25" s="4" t="s">
        <v>107</v>
      </c>
      <c r="H25" s="7">
        <v>2</v>
      </c>
      <c r="I25" t="s">
        <v>18</v>
      </c>
      <c r="J25" t="s">
        <v>0</v>
      </c>
      <c r="K25" s="4">
        <v>38050</v>
      </c>
      <c r="L25" s="3">
        <v>6600000</v>
      </c>
      <c r="M25" s="5">
        <v>1050000</v>
      </c>
      <c r="N25" s="2"/>
    </row>
    <row r="26" spans="1:14" x14ac:dyDescent="0.25">
      <c r="A26" t="s">
        <v>17</v>
      </c>
      <c r="B26" t="s">
        <v>16</v>
      </c>
      <c r="C26" t="s">
        <v>15</v>
      </c>
      <c r="D26" t="s">
        <v>14</v>
      </c>
      <c r="E26" s="7" t="s">
        <v>110</v>
      </c>
      <c r="F26" s="4">
        <v>29298</v>
      </c>
      <c r="G26" s="4" t="s">
        <v>109</v>
      </c>
      <c r="H26" s="7">
        <v>3</v>
      </c>
      <c r="I26" t="s">
        <v>13</v>
      </c>
      <c r="J26" t="s">
        <v>12</v>
      </c>
      <c r="K26" s="4">
        <v>40358</v>
      </c>
      <c r="L26" s="3">
        <v>6900000</v>
      </c>
      <c r="M26" s="3">
        <v>1100000</v>
      </c>
      <c r="N26" s="2"/>
    </row>
    <row r="27" spans="1:14" x14ac:dyDescent="0.25">
      <c r="A27" t="s">
        <v>11</v>
      </c>
      <c r="B27" t="s">
        <v>10</v>
      </c>
      <c r="C27" t="s">
        <v>9</v>
      </c>
      <c r="D27" t="s">
        <v>8</v>
      </c>
      <c r="E27" s="7" t="s">
        <v>110</v>
      </c>
      <c r="F27" s="4">
        <v>30841</v>
      </c>
      <c r="G27" s="4" t="s">
        <v>109</v>
      </c>
      <c r="H27" s="7">
        <v>5</v>
      </c>
      <c r="I27" t="s">
        <v>7</v>
      </c>
      <c r="J27" t="s">
        <v>6</v>
      </c>
      <c r="K27" s="4">
        <v>42507</v>
      </c>
      <c r="L27" s="3">
        <v>7200000</v>
      </c>
      <c r="M27" s="5">
        <v>1150000</v>
      </c>
      <c r="N27" s="2"/>
    </row>
    <row r="28" spans="1:14" x14ac:dyDescent="0.25">
      <c r="A28" t="s">
        <v>5</v>
      </c>
      <c r="B28" t="s">
        <v>4</v>
      </c>
      <c r="C28" t="s">
        <v>3</v>
      </c>
      <c r="D28" t="s">
        <v>2</v>
      </c>
      <c r="E28" s="7" t="s">
        <v>108</v>
      </c>
      <c r="F28" s="4">
        <v>29919</v>
      </c>
      <c r="G28" s="4" t="s">
        <v>107</v>
      </c>
      <c r="H28" s="7">
        <v>4</v>
      </c>
      <c r="I28" t="s">
        <v>1</v>
      </c>
      <c r="J28" t="s">
        <v>0</v>
      </c>
      <c r="K28" s="4">
        <v>39917</v>
      </c>
      <c r="L28" s="3">
        <v>7500000</v>
      </c>
      <c r="M28" s="3">
        <v>1200000</v>
      </c>
      <c r="N28" s="2"/>
    </row>
    <row r="29" spans="1:14" x14ac:dyDescent="0.25">
      <c r="L29" s="1"/>
      <c r="M29" s="1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8565-AB3B-4C4B-B081-F7383EF9D561}">
  <dimension ref="A1:B14"/>
  <sheetViews>
    <sheetView workbookViewId="0">
      <selection activeCell="C4" sqref="C4"/>
    </sheetView>
  </sheetViews>
  <sheetFormatPr baseColWidth="10" defaultRowHeight="15" x14ac:dyDescent="0.25"/>
  <cols>
    <col min="1" max="1" width="21.42578125" bestFit="1" customWidth="1"/>
    <col min="2" max="2" width="17.42578125" bestFit="1" customWidth="1"/>
    <col min="3" max="3" width="13.42578125" bestFit="1" customWidth="1"/>
  </cols>
  <sheetData>
    <row r="1" spans="1:2" x14ac:dyDescent="0.25">
      <c r="A1" s="8" t="s">
        <v>132</v>
      </c>
      <c r="B1" t="s">
        <v>108</v>
      </c>
    </row>
    <row r="3" spans="1:2" x14ac:dyDescent="0.25">
      <c r="A3" s="8" t="s">
        <v>133</v>
      </c>
      <c r="B3" t="s">
        <v>131</v>
      </c>
    </row>
    <row r="4" spans="1:2" x14ac:dyDescent="0.25">
      <c r="A4" s="9" t="s">
        <v>0</v>
      </c>
      <c r="B4" s="18"/>
    </row>
    <row r="5" spans="1:2" x14ac:dyDescent="0.25">
      <c r="A5" s="11" t="s">
        <v>7</v>
      </c>
      <c r="B5" s="18">
        <v>4</v>
      </c>
    </row>
    <row r="6" spans="1:2" x14ac:dyDescent="0.25">
      <c r="A6" s="11" t="s">
        <v>1</v>
      </c>
      <c r="B6" s="18">
        <v>4</v>
      </c>
    </row>
    <row r="7" spans="1:2" x14ac:dyDescent="0.25">
      <c r="A7" s="11" t="s">
        <v>39</v>
      </c>
      <c r="B7" s="18">
        <v>1</v>
      </c>
    </row>
    <row r="8" spans="1:2" x14ac:dyDescent="0.25">
      <c r="A8" s="9" t="s">
        <v>134</v>
      </c>
      <c r="B8" s="18">
        <v>3</v>
      </c>
    </row>
    <row r="9" spans="1:2" x14ac:dyDescent="0.25">
      <c r="A9" s="9" t="s">
        <v>6</v>
      </c>
      <c r="B9" s="18"/>
    </row>
    <row r="10" spans="1:2" x14ac:dyDescent="0.25">
      <c r="A10" s="11" t="s">
        <v>1</v>
      </c>
      <c r="B10" s="18">
        <v>1</v>
      </c>
    </row>
    <row r="11" spans="1:2" x14ac:dyDescent="0.25">
      <c r="A11" s="11" t="s">
        <v>18</v>
      </c>
      <c r="B11" s="18">
        <v>1</v>
      </c>
    </row>
    <row r="12" spans="1:2" x14ac:dyDescent="0.25">
      <c r="A12" s="11" t="s">
        <v>13</v>
      </c>
      <c r="B12" s="18">
        <v>5</v>
      </c>
    </row>
    <row r="13" spans="1:2" x14ac:dyDescent="0.25">
      <c r="A13" s="9" t="s">
        <v>135</v>
      </c>
      <c r="B13" s="18">
        <v>2.3333333333333335</v>
      </c>
    </row>
    <row r="14" spans="1:2" x14ac:dyDescent="0.25">
      <c r="A14" s="9" t="s">
        <v>122</v>
      </c>
      <c r="B14" s="18">
        <v>2.6666666666666665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9"/>
  <sheetViews>
    <sheetView workbookViewId="0">
      <selection activeCell="A6" sqref="A6:M28"/>
    </sheetView>
  </sheetViews>
  <sheetFormatPr baseColWidth="10" defaultRowHeight="15" x14ac:dyDescent="0.25"/>
  <cols>
    <col min="1" max="1" width="10.140625" bestFit="1" customWidth="1"/>
    <col min="2" max="2" width="12.42578125" bestFit="1" customWidth="1"/>
    <col min="3" max="3" width="12.85546875" bestFit="1" customWidth="1"/>
    <col min="4" max="4" width="17.28515625" bestFit="1" customWidth="1"/>
    <col min="5" max="5" width="5.28515625" style="7" bestFit="1" customWidth="1"/>
    <col min="6" max="6" width="13.28515625" bestFit="1" customWidth="1"/>
    <col min="7" max="7" width="11.140625" bestFit="1" customWidth="1"/>
    <col min="8" max="8" width="5.42578125" bestFit="1" customWidth="1"/>
    <col min="9" max="9" width="17.7109375" bestFit="1" customWidth="1"/>
    <col min="10" max="10" width="9.85546875" bestFit="1" customWidth="1"/>
    <col min="11" max="11" width="10.7109375" bestFit="1" customWidth="1"/>
    <col min="12" max="13" width="14.5703125" bestFit="1" customWidth="1"/>
    <col min="14" max="15" width="10.28515625" customWidth="1"/>
  </cols>
  <sheetData>
    <row r="1" spans="1:14" ht="18.75" customHeight="1" x14ac:dyDescent="0.25"/>
    <row r="2" spans="1:14" ht="18.75" customHeight="1" x14ac:dyDescent="0.25"/>
    <row r="3" spans="1:14" ht="18.75" customHeight="1" x14ac:dyDescent="0.25"/>
    <row r="4" spans="1:14" ht="18.75" customHeight="1" x14ac:dyDescent="0.25"/>
    <row r="5" spans="1:14" ht="18.75" customHeight="1" x14ac:dyDescent="0.25"/>
    <row r="6" spans="1:14" x14ac:dyDescent="0.25">
      <c r="A6" s="6" t="s">
        <v>106</v>
      </c>
      <c r="B6" s="6" t="s">
        <v>105</v>
      </c>
      <c r="C6" s="6" t="s">
        <v>104</v>
      </c>
      <c r="D6" s="6" t="s">
        <v>103</v>
      </c>
      <c r="E6" s="6" t="s">
        <v>115</v>
      </c>
      <c r="F6" s="6" t="s">
        <v>102</v>
      </c>
      <c r="G6" s="6" t="s">
        <v>114</v>
      </c>
      <c r="H6" s="6" t="s">
        <v>113</v>
      </c>
      <c r="I6" s="6" t="s">
        <v>101</v>
      </c>
      <c r="J6" s="6" t="s">
        <v>100</v>
      </c>
      <c r="K6" s="6" t="s">
        <v>99</v>
      </c>
      <c r="L6" s="6" t="s">
        <v>98</v>
      </c>
      <c r="M6" s="6" t="s">
        <v>97</v>
      </c>
    </row>
    <row r="7" spans="1:14" x14ac:dyDescent="0.25">
      <c r="A7" t="s">
        <v>96</v>
      </c>
      <c r="B7" t="s">
        <v>95</v>
      </c>
      <c r="C7" t="s">
        <v>94</v>
      </c>
      <c r="D7" t="s">
        <v>93</v>
      </c>
      <c r="E7" s="7" t="s">
        <v>110</v>
      </c>
      <c r="F7" s="4">
        <v>29890</v>
      </c>
      <c r="G7" s="4" t="s">
        <v>111</v>
      </c>
      <c r="H7" s="7">
        <v>1</v>
      </c>
      <c r="I7" t="s">
        <v>7</v>
      </c>
      <c r="J7" t="s">
        <v>12</v>
      </c>
      <c r="K7" s="4">
        <v>36544</v>
      </c>
      <c r="L7" s="3">
        <v>1200000</v>
      </c>
      <c r="M7" s="5">
        <v>150000</v>
      </c>
      <c r="N7" s="2"/>
    </row>
    <row r="8" spans="1:14" x14ac:dyDescent="0.25">
      <c r="A8" t="s">
        <v>92</v>
      </c>
      <c r="B8" t="s">
        <v>91</v>
      </c>
      <c r="C8" t="s">
        <v>90</v>
      </c>
      <c r="D8" t="s">
        <v>89</v>
      </c>
      <c r="E8" s="7" t="s">
        <v>110</v>
      </c>
      <c r="F8" s="4">
        <v>30193</v>
      </c>
      <c r="G8" s="4" t="s">
        <v>111</v>
      </c>
      <c r="H8" s="7">
        <v>2</v>
      </c>
      <c r="I8" t="s">
        <v>7</v>
      </c>
      <c r="J8" t="s">
        <v>52</v>
      </c>
      <c r="K8" s="4">
        <v>40097</v>
      </c>
      <c r="L8" s="3">
        <v>1500000</v>
      </c>
      <c r="M8" s="3">
        <v>200000</v>
      </c>
      <c r="N8" s="2"/>
    </row>
    <row r="9" spans="1:14" x14ac:dyDescent="0.25">
      <c r="A9" t="s">
        <v>88</v>
      </c>
      <c r="B9" t="s">
        <v>87</v>
      </c>
      <c r="C9" t="s">
        <v>86</v>
      </c>
      <c r="D9" t="s">
        <v>85</v>
      </c>
      <c r="E9" s="7" t="s">
        <v>110</v>
      </c>
      <c r="F9" s="4">
        <v>29690</v>
      </c>
      <c r="G9" s="4" t="s">
        <v>111</v>
      </c>
      <c r="H9" s="7">
        <v>4</v>
      </c>
      <c r="I9" t="s">
        <v>18</v>
      </c>
      <c r="J9" t="s">
        <v>52</v>
      </c>
      <c r="K9" s="4"/>
      <c r="L9" s="3">
        <v>1800000</v>
      </c>
      <c r="M9" s="5">
        <v>250000</v>
      </c>
      <c r="N9" s="2"/>
    </row>
    <row r="10" spans="1:14" x14ac:dyDescent="0.25">
      <c r="A10" t="s">
        <v>84</v>
      </c>
      <c r="B10" t="s">
        <v>83</v>
      </c>
      <c r="C10" t="s">
        <v>82</v>
      </c>
      <c r="D10" t="s">
        <v>81</v>
      </c>
      <c r="E10" s="7" t="s">
        <v>108</v>
      </c>
      <c r="F10" s="4">
        <v>30863</v>
      </c>
      <c r="G10" s="4" t="s">
        <v>109</v>
      </c>
      <c r="H10" s="7">
        <v>5</v>
      </c>
      <c r="I10" t="s">
        <v>13</v>
      </c>
      <c r="J10" t="s">
        <v>6</v>
      </c>
      <c r="K10" s="4">
        <v>39645</v>
      </c>
      <c r="L10" s="3">
        <v>2100000</v>
      </c>
      <c r="M10" s="3">
        <v>300000</v>
      </c>
      <c r="N10" s="2"/>
    </row>
    <row r="11" spans="1:14" x14ac:dyDescent="0.25">
      <c r="A11" t="s">
        <v>80</v>
      </c>
      <c r="B11" t="s">
        <v>79</v>
      </c>
      <c r="C11" t="s">
        <v>78</v>
      </c>
      <c r="D11" t="s">
        <v>77</v>
      </c>
      <c r="E11" s="7" t="s">
        <v>108</v>
      </c>
      <c r="F11" s="4">
        <v>30677</v>
      </c>
      <c r="G11" s="4" t="s">
        <v>107</v>
      </c>
      <c r="H11" s="7">
        <v>1</v>
      </c>
      <c r="I11" t="s">
        <v>39</v>
      </c>
      <c r="J11" t="s">
        <v>0</v>
      </c>
      <c r="K11" s="4">
        <v>40671</v>
      </c>
      <c r="L11" s="3">
        <v>2400000</v>
      </c>
      <c r="M11" s="5">
        <v>350000</v>
      </c>
      <c r="N11" s="2"/>
    </row>
    <row r="12" spans="1:14" x14ac:dyDescent="0.25">
      <c r="A12" t="s">
        <v>76</v>
      </c>
      <c r="B12" t="s">
        <v>75</v>
      </c>
      <c r="C12" t="s">
        <v>74</v>
      </c>
      <c r="D12" t="s">
        <v>73</v>
      </c>
      <c r="E12" s="7" t="s">
        <v>110</v>
      </c>
      <c r="F12" s="4">
        <v>30826</v>
      </c>
      <c r="G12" s="4" t="s">
        <v>111</v>
      </c>
      <c r="H12" s="7">
        <v>6</v>
      </c>
      <c r="I12" t="s">
        <v>18</v>
      </c>
      <c r="J12" t="s">
        <v>52</v>
      </c>
      <c r="K12" s="4"/>
      <c r="L12" s="3">
        <v>2700000</v>
      </c>
      <c r="M12" s="3">
        <v>400000</v>
      </c>
      <c r="N12" s="2"/>
    </row>
    <row r="13" spans="1:14" x14ac:dyDescent="0.25">
      <c r="A13" t="s">
        <v>72</v>
      </c>
      <c r="B13" t="s">
        <v>71</v>
      </c>
      <c r="C13" t="s">
        <v>70</v>
      </c>
      <c r="D13" t="s">
        <v>69</v>
      </c>
      <c r="E13" s="7" t="s">
        <v>110</v>
      </c>
      <c r="F13" s="4">
        <v>30848</v>
      </c>
      <c r="G13" s="4" t="s">
        <v>107</v>
      </c>
      <c r="H13" s="7">
        <v>3</v>
      </c>
      <c r="I13" t="s">
        <v>1</v>
      </c>
      <c r="J13" t="s">
        <v>52</v>
      </c>
      <c r="K13" s="4">
        <v>40200</v>
      </c>
      <c r="L13" s="3">
        <v>3000000</v>
      </c>
      <c r="M13" s="5">
        <v>450000</v>
      </c>
      <c r="N13" s="2"/>
    </row>
    <row r="14" spans="1:14" x14ac:dyDescent="0.25">
      <c r="A14" t="s">
        <v>68</v>
      </c>
      <c r="B14" t="s">
        <v>67</v>
      </c>
      <c r="C14" t="s">
        <v>66</v>
      </c>
      <c r="D14" t="s">
        <v>65</v>
      </c>
      <c r="E14" s="7" t="s">
        <v>110</v>
      </c>
      <c r="F14" s="4">
        <v>29998</v>
      </c>
      <c r="G14" s="4" t="s">
        <v>109</v>
      </c>
      <c r="H14" s="7">
        <v>5</v>
      </c>
      <c r="I14" t="s">
        <v>18</v>
      </c>
      <c r="J14" t="s">
        <v>12</v>
      </c>
      <c r="K14" s="4">
        <v>43064</v>
      </c>
      <c r="L14" s="3">
        <v>3300000</v>
      </c>
      <c r="M14" s="3">
        <v>500000</v>
      </c>
      <c r="N14" s="2"/>
    </row>
    <row r="15" spans="1:14" x14ac:dyDescent="0.25">
      <c r="A15" t="s">
        <v>64</v>
      </c>
      <c r="B15" t="s">
        <v>63</v>
      </c>
      <c r="C15" t="s">
        <v>62</v>
      </c>
      <c r="D15" t="s">
        <v>61</v>
      </c>
      <c r="E15" s="7" t="s">
        <v>110</v>
      </c>
      <c r="F15" s="4">
        <v>29691</v>
      </c>
      <c r="G15" s="4" t="s">
        <v>109</v>
      </c>
      <c r="H15" s="7">
        <v>6</v>
      </c>
      <c r="I15" t="s">
        <v>1</v>
      </c>
      <c r="J15" t="s">
        <v>52</v>
      </c>
      <c r="K15" s="4">
        <v>40755</v>
      </c>
      <c r="L15" s="3">
        <v>3600000</v>
      </c>
      <c r="M15" s="5">
        <v>550000</v>
      </c>
      <c r="N15" s="2"/>
    </row>
    <row r="16" spans="1:14" x14ac:dyDescent="0.25">
      <c r="A16" t="s">
        <v>60</v>
      </c>
      <c r="B16" t="s">
        <v>59</v>
      </c>
      <c r="C16" t="s">
        <v>58</v>
      </c>
      <c r="D16" t="s">
        <v>57</v>
      </c>
      <c r="E16" s="7" t="s">
        <v>110</v>
      </c>
      <c r="F16" s="4">
        <v>30979</v>
      </c>
      <c r="G16" s="4" t="s">
        <v>112</v>
      </c>
      <c r="H16" s="7">
        <v>6</v>
      </c>
      <c r="I16" t="s">
        <v>18</v>
      </c>
      <c r="J16" t="s">
        <v>6</v>
      </c>
      <c r="K16" s="4"/>
      <c r="L16" s="3">
        <v>3900000</v>
      </c>
      <c r="M16" s="3">
        <v>600000</v>
      </c>
      <c r="N16" s="2"/>
    </row>
    <row r="17" spans="1:14" x14ac:dyDescent="0.25">
      <c r="A17" t="s">
        <v>56</v>
      </c>
      <c r="B17" t="s">
        <v>55</v>
      </c>
      <c r="C17" t="s">
        <v>54</v>
      </c>
      <c r="D17" t="s">
        <v>53</v>
      </c>
      <c r="E17" s="7" t="s">
        <v>110</v>
      </c>
      <c r="F17" s="4">
        <v>29336</v>
      </c>
      <c r="G17" s="4" t="s">
        <v>112</v>
      </c>
      <c r="H17" s="7">
        <v>5</v>
      </c>
      <c r="I17" t="s">
        <v>1</v>
      </c>
      <c r="J17" t="s">
        <v>52</v>
      </c>
      <c r="K17" s="4">
        <v>37646</v>
      </c>
      <c r="L17" s="3">
        <v>4200000</v>
      </c>
      <c r="M17" s="5">
        <v>650000</v>
      </c>
      <c r="N17" s="2"/>
    </row>
    <row r="18" spans="1:14" x14ac:dyDescent="0.25">
      <c r="A18" t="s">
        <v>51</v>
      </c>
      <c r="B18" t="s">
        <v>50</v>
      </c>
      <c r="C18" t="s">
        <v>49</v>
      </c>
      <c r="D18" t="s">
        <v>48</v>
      </c>
      <c r="E18" s="7" t="s">
        <v>108</v>
      </c>
      <c r="F18" s="4">
        <v>30594</v>
      </c>
      <c r="G18" s="4" t="s">
        <v>112</v>
      </c>
      <c r="H18" s="7">
        <v>1</v>
      </c>
      <c r="I18" t="s">
        <v>18</v>
      </c>
      <c r="J18" t="s">
        <v>6</v>
      </c>
      <c r="K18" s="4"/>
      <c r="L18" s="3">
        <v>4500000</v>
      </c>
      <c r="M18" s="3">
        <v>700000</v>
      </c>
      <c r="N18" s="2"/>
    </row>
    <row r="19" spans="1:14" x14ac:dyDescent="0.25">
      <c r="A19" t="s">
        <v>47</v>
      </c>
      <c r="B19" t="s">
        <v>46</v>
      </c>
      <c r="C19" t="s">
        <v>45</v>
      </c>
      <c r="D19" t="s">
        <v>44</v>
      </c>
      <c r="E19" s="7" t="s">
        <v>108</v>
      </c>
      <c r="F19" s="4">
        <v>30480</v>
      </c>
      <c r="G19" s="4" t="s">
        <v>109</v>
      </c>
      <c r="H19" s="7">
        <v>4</v>
      </c>
      <c r="I19" t="s">
        <v>7</v>
      </c>
      <c r="J19" t="s">
        <v>0</v>
      </c>
      <c r="K19" s="4">
        <v>38293</v>
      </c>
      <c r="L19" s="3">
        <v>4800000</v>
      </c>
      <c r="M19" s="5">
        <v>750000</v>
      </c>
      <c r="N19" s="2"/>
    </row>
    <row r="20" spans="1:14" x14ac:dyDescent="0.25">
      <c r="A20" t="s">
        <v>43</v>
      </c>
      <c r="B20" t="s">
        <v>42</v>
      </c>
      <c r="C20" t="s">
        <v>41</v>
      </c>
      <c r="D20" t="s">
        <v>40</v>
      </c>
      <c r="E20" s="7" t="s">
        <v>110</v>
      </c>
      <c r="F20" s="4">
        <v>30899</v>
      </c>
      <c r="G20" s="4" t="s">
        <v>107</v>
      </c>
      <c r="H20" s="7">
        <v>0</v>
      </c>
      <c r="I20" t="s">
        <v>39</v>
      </c>
      <c r="J20" t="s">
        <v>12</v>
      </c>
      <c r="K20" s="4">
        <v>39156</v>
      </c>
      <c r="L20" s="3">
        <v>5100000</v>
      </c>
      <c r="M20" s="3">
        <v>800000</v>
      </c>
      <c r="N20" s="2"/>
    </row>
    <row r="21" spans="1:14" x14ac:dyDescent="0.25">
      <c r="A21" t="s">
        <v>38</v>
      </c>
      <c r="B21" t="s">
        <v>37</v>
      </c>
      <c r="C21" t="s">
        <v>36</v>
      </c>
      <c r="D21" t="s">
        <v>35</v>
      </c>
      <c r="E21" s="7" t="s">
        <v>110</v>
      </c>
      <c r="F21" s="4">
        <v>29362</v>
      </c>
      <c r="G21" s="4" t="s">
        <v>109</v>
      </c>
      <c r="H21" s="7">
        <v>6</v>
      </c>
      <c r="I21" t="s">
        <v>1</v>
      </c>
      <c r="J21" t="s">
        <v>0</v>
      </c>
      <c r="K21" s="4">
        <v>38477</v>
      </c>
      <c r="L21" s="3">
        <v>5400000</v>
      </c>
      <c r="M21" s="5">
        <v>850000</v>
      </c>
      <c r="N21" s="2"/>
    </row>
    <row r="22" spans="1:14" x14ac:dyDescent="0.25">
      <c r="A22" t="s">
        <v>34</v>
      </c>
      <c r="B22" t="s">
        <v>33</v>
      </c>
      <c r="C22" t="s">
        <v>32</v>
      </c>
      <c r="D22" t="s">
        <v>31</v>
      </c>
      <c r="E22" s="7" t="s">
        <v>108</v>
      </c>
      <c r="F22" s="4">
        <v>29485</v>
      </c>
      <c r="G22" s="4" t="s">
        <v>112</v>
      </c>
      <c r="H22" s="7">
        <v>1</v>
      </c>
      <c r="I22" t="s">
        <v>1</v>
      </c>
      <c r="J22" t="s">
        <v>6</v>
      </c>
      <c r="K22" s="4">
        <v>38677</v>
      </c>
      <c r="L22" s="3">
        <v>5700000</v>
      </c>
      <c r="M22" s="3">
        <v>900000</v>
      </c>
      <c r="N22" s="2"/>
    </row>
    <row r="23" spans="1:14" x14ac:dyDescent="0.25">
      <c r="A23" t="s">
        <v>30</v>
      </c>
      <c r="B23" t="s">
        <v>29</v>
      </c>
      <c r="C23" t="s">
        <v>28</v>
      </c>
      <c r="D23" t="s">
        <v>27</v>
      </c>
      <c r="E23" s="7" t="s">
        <v>110</v>
      </c>
      <c r="F23" s="4">
        <v>29266</v>
      </c>
      <c r="G23" s="4" t="s">
        <v>111</v>
      </c>
      <c r="H23" s="7">
        <v>0</v>
      </c>
      <c r="I23" t="s">
        <v>7</v>
      </c>
      <c r="J23" t="s">
        <v>0</v>
      </c>
      <c r="K23" s="4"/>
      <c r="L23" s="3">
        <v>6000000</v>
      </c>
      <c r="M23" s="5">
        <v>950000</v>
      </c>
      <c r="N23" s="2"/>
    </row>
    <row r="24" spans="1:14" x14ac:dyDescent="0.25">
      <c r="A24" t="s">
        <v>26</v>
      </c>
      <c r="B24" t="s">
        <v>25</v>
      </c>
      <c r="C24" t="s">
        <v>24</v>
      </c>
      <c r="D24" t="s">
        <v>23</v>
      </c>
      <c r="E24" s="7" t="s">
        <v>110</v>
      </c>
      <c r="F24" s="4">
        <v>29762</v>
      </c>
      <c r="G24" s="4" t="s">
        <v>107</v>
      </c>
      <c r="H24" s="7">
        <v>1</v>
      </c>
      <c r="I24" t="s">
        <v>18</v>
      </c>
      <c r="J24" t="s">
        <v>0</v>
      </c>
      <c r="K24" s="4">
        <v>38338</v>
      </c>
      <c r="L24" s="3">
        <v>6300000</v>
      </c>
      <c r="M24" s="3">
        <v>1000000</v>
      </c>
      <c r="N24" s="2"/>
    </row>
    <row r="25" spans="1:14" x14ac:dyDescent="0.25">
      <c r="A25" t="s">
        <v>22</v>
      </c>
      <c r="B25" t="s">
        <v>21</v>
      </c>
      <c r="C25" t="s">
        <v>20</v>
      </c>
      <c r="D25" t="s">
        <v>19</v>
      </c>
      <c r="E25" s="7" t="s">
        <v>110</v>
      </c>
      <c r="F25" s="4">
        <v>29728</v>
      </c>
      <c r="G25" s="4" t="s">
        <v>107</v>
      </c>
      <c r="H25" s="7">
        <v>2</v>
      </c>
      <c r="I25" t="s">
        <v>18</v>
      </c>
      <c r="J25" t="s">
        <v>0</v>
      </c>
      <c r="K25" s="4">
        <v>38050</v>
      </c>
      <c r="L25" s="3">
        <v>6600000</v>
      </c>
      <c r="M25" s="5">
        <v>1050000</v>
      </c>
      <c r="N25" s="2"/>
    </row>
    <row r="26" spans="1:14" x14ac:dyDescent="0.25">
      <c r="A26" t="s">
        <v>17</v>
      </c>
      <c r="B26" t="s">
        <v>16</v>
      </c>
      <c r="C26" t="s">
        <v>15</v>
      </c>
      <c r="D26" t="s">
        <v>14</v>
      </c>
      <c r="E26" s="7" t="s">
        <v>110</v>
      </c>
      <c r="F26" s="4">
        <v>29298</v>
      </c>
      <c r="G26" s="4" t="s">
        <v>109</v>
      </c>
      <c r="H26" s="7">
        <v>3</v>
      </c>
      <c r="I26" t="s">
        <v>13</v>
      </c>
      <c r="J26" t="s">
        <v>12</v>
      </c>
      <c r="K26" s="4">
        <v>40358</v>
      </c>
      <c r="L26" s="3">
        <v>6900000</v>
      </c>
      <c r="M26" s="3">
        <v>1100000</v>
      </c>
      <c r="N26" s="2"/>
    </row>
    <row r="27" spans="1:14" x14ac:dyDescent="0.25">
      <c r="A27" t="s">
        <v>11</v>
      </c>
      <c r="B27" t="s">
        <v>10</v>
      </c>
      <c r="C27" t="s">
        <v>9</v>
      </c>
      <c r="D27" t="s">
        <v>8</v>
      </c>
      <c r="E27" s="7" t="s">
        <v>110</v>
      </c>
      <c r="F27" s="4">
        <v>30841</v>
      </c>
      <c r="G27" s="4" t="s">
        <v>109</v>
      </c>
      <c r="H27" s="7">
        <v>5</v>
      </c>
      <c r="I27" t="s">
        <v>7</v>
      </c>
      <c r="J27" t="s">
        <v>6</v>
      </c>
      <c r="K27" s="4">
        <v>42507</v>
      </c>
      <c r="L27" s="3">
        <v>7200000</v>
      </c>
      <c r="M27" s="5">
        <v>1150000</v>
      </c>
      <c r="N27" s="2"/>
    </row>
    <row r="28" spans="1:14" x14ac:dyDescent="0.25">
      <c r="A28" t="s">
        <v>5</v>
      </c>
      <c r="B28" t="s">
        <v>4</v>
      </c>
      <c r="C28" t="s">
        <v>3</v>
      </c>
      <c r="D28" t="s">
        <v>2</v>
      </c>
      <c r="E28" s="7" t="s">
        <v>108</v>
      </c>
      <c r="F28" s="4">
        <v>29919</v>
      </c>
      <c r="G28" s="4" t="s">
        <v>107</v>
      </c>
      <c r="H28" s="7">
        <v>4</v>
      </c>
      <c r="I28" t="s">
        <v>1</v>
      </c>
      <c r="J28" t="s">
        <v>0</v>
      </c>
      <c r="K28" s="4">
        <v>39917</v>
      </c>
      <c r="L28" s="3">
        <v>7500000</v>
      </c>
      <c r="M28" s="3">
        <v>1200000</v>
      </c>
      <c r="N28" s="2"/>
    </row>
    <row r="29" spans="1:14" x14ac:dyDescent="0.25">
      <c r="L29" s="1"/>
      <c r="M29" s="1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D1EB-9E2E-4B33-BA13-CFCFA1B0A019}">
  <dimension ref="A3:B8"/>
  <sheetViews>
    <sheetView workbookViewId="0">
      <selection activeCell="C8" sqref="C8"/>
    </sheetView>
  </sheetViews>
  <sheetFormatPr baseColWidth="10" defaultRowHeight="15" x14ac:dyDescent="0.25"/>
  <cols>
    <col min="1" max="1" width="17.5703125" bestFit="1" customWidth="1"/>
    <col min="2" max="2" width="15.140625" bestFit="1" customWidth="1"/>
    <col min="3" max="23" width="14.5703125" bestFit="1" customWidth="1"/>
    <col min="24" max="24" width="14" bestFit="1" customWidth="1"/>
  </cols>
  <sheetData>
    <row r="3" spans="1:2" x14ac:dyDescent="0.25">
      <c r="A3" s="8" t="s">
        <v>121</v>
      </c>
      <c r="B3" t="s">
        <v>123</v>
      </c>
    </row>
    <row r="4" spans="1:2" x14ac:dyDescent="0.25">
      <c r="A4" s="9" t="s">
        <v>52</v>
      </c>
      <c r="B4" s="16">
        <v>0.17554858934169279</v>
      </c>
    </row>
    <row r="5" spans="1:2" x14ac:dyDescent="0.25">
      <c r="A5" s="9" t="s">
        <v>0</v>
      </c>
      <c r="B5" s="16">
        <v>0.40752351097178685</v>
      </c>
    </row>
    <row r="6" spans="1:2" x14ac:dyDescent="0.25">
      <c r="A6" s="9" t="s">
        <v>6</v>
      </c>
      <c r="B6" s="16">
        <v>0.2445141065830721</v>
      </c>
    </row>
    <row r="7" spans="1:2" x14ac:dyDescent="0.25">
      <c r="A7" s="9" t="s">
        <v>12</v>
      </c>
      <c r="B7" s="16">
        <v>0.17241379310344829</v>
      </c>
    </row>
    <row r="8" spans="1:2" x14ac:dyDescent="0.25">
      <c r="A8" s="9" t="s">
        <v>122</v>
      </c>
      <c r="B8" s="16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9"/>
  <sheetViews>
    <sheetView workbookViewId="0">
      <selection activeCell="A6" sqref="A6:M28"/>
    </sheetView>
  </sheetViews>
  <sheetFormatPr baseColWidth="10" defaultRowHeight="15" x14ac:dyDescent="0.25"/>
  <cols>
    <col min="1" max="1" width="10.140625" bestFit="1" customWidth="1"/>
    <col min="2" max="2" width="12.42578125" bestFit="1" customWidth="1"/>
    <col min="3" max="3" width="12.85546875" bestFit="1" customWidth="1"/>
    <col min="4" max="4" width="17.28515625" bestFit="1" customWidth="1"/>
    <col min="5" max="5" width="5.28515625" style="7" bestFit="1" customWidth="1"/>
    <col min="6" max="6" width="13.28515625" bestFit="1" customWidth="1"/>
    <col min="7" max="7" width="11.140625" bestFit="1" customWidth="1"/>
    <col min="8" max="8" width="5.42578125" bestFit="1" customWidth="1"/>
    <col min="9" max="9" width="17.7109375" bestFit="1" customWidth="1"/>
    <col min="10" max="10" width="12.7109375" customWidth="1"/>
    <col min="11" max="11" width="10.7109375" bestFit="1" customWidth="1"/>
    <col min="12" max="13" width="14.5703125" bestFit="1" customWidth="1"/>
    <col min="14" max="15" width="10.28515625" customWidth="1"/>
  </cols>
  <sheetData>
    <row r="1" spans="1:14" ht="18.75" customHeight="1" x14ac:dyDescent="0.25"/>
    <row r="2" spans="1:14" ht="18.75" customHeight="1" x14ac:dyDescent="0.25"/>
    <row r="3" spans="1:14" ht="18.75" customHeight="1" x14ac:dyDescent="0.25"/>
    <row r="4" spans="1:14" ht="18.75" customHeight="1" x14ac:dyDescent="0.25"/>
    <row r="5" spans="1:14" ht="18.75" customHeight="1" x14ac:dyDescent="0.25"/>
    <row r="6" spans="1:14" x14ac:dyDescent="0.25">
      <c r="A6" s="6" t="s">
        <v>106</v>
      </c>
      <c r="B6" s="6" t="s">
        <v>105</v>
      </c>
      <c r="C6" s="6" t="s">
        <v>104</v>
      </c>
      <c r="D6" s="6" t="s">
        <v>103</v>
      </c>
      <c r="E6" s="6" t="s">
        <v>115</v>
      </c>
      <c r="F6" s="6" t="s">
        <v>102</v>
      </c>
      <c r="G6" s="6" t="s">
        <v>114</v>
      </c>
      <c r="H6" s="6" t="s">
        <v>113</v>
      </c>
      <c r="I6" s="6" t="s">
        <v>101</v>
      </c>
      <c r="J6" s="6" t="s">
        <v>100</v>
      </c>
      <c r="K6" s="6" t="s">
        <v>99</v>
      </c>
      <c r="L6" s="6" t="s">
        <v>98</v>
      </c>
      <c r="M6" s="6" t="s">
        <v>97</v>
      </c>
    </row>
    <row r="7" spans="1:14" x14ac:dyDescent="0.25">
      <c r="A7" t="s">
        <v>96</v>
      </c>
      <c r="B7" t="s">
        <v>95</v>
      </c>
      <c r="C7" t="s">
        <v>94</v>
      </c>
      <c r="D7" t="s">
        <v>93</v>
      </c>
      <c r="E7" s="7" t="s">
        <v>110</v>
      </c>
      <c r="F7" s="4">
        <v>29890</v>
      </c>
      <c r="G7" s="4" t="s">
        <v>111</v>
      </c>
      <c r="H7" s="7">
        <v>1</v>
      </c>
      <c r="I7" t="s">
        <v>7</v>
      </c>
      <c r="J7" t="s">
        <v>12</v>
      </c>
      <c r="K7" s="4">
        <v>36544</v>
      </c>
      <c r="L7" s="3">
        <v>1200000</v>
      </c>
      <c r="M7" s="5">
        <v>150000</v>
      </c>
      <c r="N7" s="2"/>
    </row>
    <row r="8" spans="1:14" x14ac:dyDescent="0.25">
      <c r="A8" t="s">
        <v>92</v>
      </c>
      <c r="B8" t="s">
        <v>91</v>
      </c>
      <c r="C8" t="s">
        <v>90</v>
      </c>
      <c r="D8" t="s">
        <v>89</v>
      </c>
      <c r="E8" s="7" t="s">
        <v>110</v>
      </c>
      <c r="F8" s="4">
        <v>30193</v>
      </c>
      <c r="G8" s="4" t="s">
        <v>111</v>
      </c>
      <c r="H8" s="7">
        <v>2</v>
      </c>
      <c r="I8" t="s">
        <v>7</v>
      </c>
      <c r="J8" t="s">
        <v>52</v>
      </c>
      <c r="K8" s="4">
        <v>40097</v>
      </c>
      <c r="L8" s="3">
        <v>1500000</v>
      </c>
      <c r="M8" s="3">
        <v>200000</v>
      </c>
      <c r="N8" s="2"/>
    </row>
    <row r="9" spans="1:14" x14ac:dyDescent="0.25">
      <c r="A9" t="s">
        <v>88</v>
      </c>
      <c r="B9" t="s">
        <v>87</v>
      </c>
      <c r="C9" t="s">
        <v>86</v>
      </c>
      <c r="D9" t="s">
        <v>85</v>
      </c>
      <c r="E9" s="7" t="s">
        <v>110</v>
      </c>
      <c r="F9" s="4">
        <v>29690</v>
      </c>
      <c r="G9" s="4" t="s">
        <v>111</v>
      </c>
      <c r="H9" s="7">
        <v>4</v>
      </c>
      <c r="I9" t="s">
        <v>18</v>
      </c>
      <c r="J9" t="s">
        <v>52</v>
      </c>
      <c r="K9" s="4"/>
      <c r="L9" s="3">
        <v>1800000</v>
      </c>
      <c r="M9" s="5">
        <v>250000</v>
      </c>
      <c r="N9" s="2"/>
    </row>
    <row r="10" spans="1:14" x14ac:dyDescent="0.25">
      <c r="A10" t="s">
        <v>84</v>
      </c>
      <c r="B10" t="s">
        <v>83</v>
      </c>
      <c r="C10" t="s">
        <v>82</v>
      </c>
      <c r="D10" t="s">
        <v>81</v>
      </c>
      <c r="E10" s="7" t="s">
        <v>108</v>
      </c>
      <c r="F10" s="4">
        <v>30863</v>
      </c>
      <c r="G10" s="4" t="s">
        <v>109</v>
      </c>
      <c r="H10" s="7">
        <v>5</v>
      </c>
      <c r="I10" t="s">
        <v>13</v>
      </c>
      <c r="J10" t="s">
        <v>6</v>
      </c>
      <c r="K10" s="4">
        <v>39645</v>
      </c>
      <c r="L10" s="3">
        <v>2100000</v>
      </c>
      <c r="M10" s="3">
        <v>300000</v>
      </c>
      <c r="N10" s="2"/>
    </row>
    <row r="11" spans="1:14" x14ac:dyDescent="0.25">
      <c r="A11" t="s">
        <v>80</v>
      </c>
      <c r="B11" t="s">
        <v>79</v>
      </c>
      <c r="C11" t="s">
        <v>78</v>
      </c>
      <c r="D11" t="s">
        <v>77</v>
      </c>
      <c r="E11" s="7" t="s">
        <v>108</v>
      </c>
      <c r="F11" s="4">
        <v>30677</v>
      </c>
      <c r="G11" s="4" t="s">
        <v>107</v>
      </c>
      <c r="H11" s="7">
        <v>1</v>
      </c>
      <c r="I11" t="s">
        <v>39</v>
      </c>
      <c r="J11" t="s">
        <v>0</v>
      </c>
      <c r="K11" s="4">
        <v>40671</v>
      </c>
      <c r="L11" s="3">
        <v>2400000</v>
      </c>
      <c r="M11" s="5">
        <v>350000</v>
      </c>
      <c r="N11" s="2"/>
    </row>
    <row r="12" spans="1:14" x14ac:dyDescent="0.25">
      <c r="A12" t="s">
        <v>76</v>
      </c>
      <c r="B12" t="s">
        <v>75</v>
      </c>
      <c r="C12" t="s">
        <v>74</v>
      </c>
      <c r="D12" t="s">
        <v>73</v>
      </c>
      <c r="E12" s="7" t="s">
        <v>110</v>
      </c>
      <c r="F12" s="4">
        <v>30826</v>
      </c>
      <c r="G12" s="4" t="s">
        <v>111</v>
      </c>
      <c r="H12" s="7">
        <v>6</v>
      </c>
      <c r="I12" t="s">
        <v>18</v>
      </c>
      <c r="J12" t="s">
        <v>52</v>
      </c>
      <c r="K12" s="4"/>
      <c r="L12" s="3">
        <v>2700000</v>
      </c>
      <c r="M12" s="3">
        <v>400000</v>
      </c>
      <c r="N12" s="2"/>
    </row>
    <row r="13" spans="1:14" x14ac:dyDescent="0.25">
      <c r="A13" t="s">
        <v>72</v>
      </c>
      <c r="B13" t="s">
        <v>71</v>
      </c>
      <c r="C13" t="s">
        <v>70</v>
      </c>
      <c r="D13" t="s">
        <v>69</v>
      </c>
      <c r="E13" s="7" t="s">
        <v>110</v>
      </c>
      <c r="F13" s="4">
        <v>30848</v>
      </c>
      <c r="G13" s="4" t="s">
        <v>107</v>
      </c>
      <c r="H13" s="7">
        <v>3</v>
      </c>
      <c r="I13" t="s">
        <v>1</v>
      </c>
      <c r="J13" t="s">
        <v>52</v>
      </c>
      <c r="K13" s="4">
        <v>40200</v>
      </c>
      <c r="L13" s="3">
        <v>3000000</v>
      </c>
      <c r="M13" s="5">
        <v>450000</v>
      </c>
      <c r="N13" s="2"/>
    </row>
    <row r="14" spans="1:14" x14ac:dyDescent="0.25">
      <c r="A14" t="s">
        <v>68</v>
      </c>
      <c r="B14" t="s">
        <v>67</v>
      </c>
      <c r="C14" t="s">
        <v>66</v>
      </c>
      <c r="D14" t="s">
        <v>65</v>
      </c>
      <c r="E14" s="7" t="s">
        <v>110</v>
      </c>
      <c r="F14" s="4">
        <v>29998</v>
      </c>
      <c r="G14" s="4" t="s">
        <v>109</v>
      </c>
      <c r="H14" s="7">
        <v>5</v>
      </c>
      <c r="I14" t="s">
        <v>18</v>
      </c>
      <c r="J14" t="s">
        <v>12</v>
      </c>
      <c r="K14" s="4">
        <v>43064</v>
      </c>
      <c r="L14" s="3">
        <v>3300000</v>
      </c>
      <c r="M14" s="3">
        <v>500000</v>
      </c>
      <c r="N14" s="2"/>
    </row>
    <row r="15" spans="1:14" x14ac:dyDescent="0.25">
      <c r="A15" t="s">
        <v>64</v>
      </c>
      <c r="B15" t="s">
        <v>63</v>
      </c>
      <c r="C15" t="s">
        <v>62</v>
      </c>
      <c r="D15" t="s">
        <v>61</v>
      </c>
      <c r="E15" s="7" t="s">
        <v>110</v>
      </c>
      <c r="F15" s="4">
        <v>29691</v>
      </c>
      <c r="G15" s="4" t="s">
        <v>109</v>
      </c>
      <c r="H15" s="7">
        <v>6</v>
      </c>
      <c r="I15" t="s">
        <v>1</v>
      </c>
      <c r="J15" t="s">
        <v>52</v>
      </c>
      <c r="K15" s="4">
        <v>40755</v>
      </c>
      <c r="L15" s="3">
        <v>3600000</v>
      </c>
      <c r="M15" s="5">
        <v>550000</v>
      </c>
      <c r="N15" s="2"/>
    </row>
    <row r="16" spans="1:14" x14ac:dyDescent="0.25">
      <c r="A16" t="s">
        <v>60</v>
      </c>
      <c r="B16" t="s">
        <v>59</v>
      </c>
      <c r="C16" t="s">
        <v>58</v>
      </c>
      <c r="D16" t="s">
        <v>57</v>
      </c>
      <c r="E16" s="7" t="s">
        <v>110</v>
      </c>
      <c r="F16" s="4">
        <v>30979</v>
      </c>
      <c r="G16" s="4" t="s">
        <v>112</v>
      </c>
      <c r="H16" s="7">
        <v>6</v>
      </c>
      <c r="I16" t="s">
        <v>18</v>
      </c>
      <c r="J16" t="s">
        <v>6</v>
      </c>
      <c r="K16" s="4"/>
      <c r="L16" s="3">
        <v>3900000</v>
      </c>
      <c r="M16" s="3">
        <v>600000</v>
      </c>
      <c r="N16" s="2"/>
    </row>
    <row r="17" spans="1:14" x14ac:dyDescent="0.25">
      <c r="A17" t="s">
        <v>56</v>
      </c>
      <c r="B17" t="s">
        <v>55</v>
      </c>
      <c r="C17" t="s">
        <v>54</v>
      </c>
      <c r="D17" t="s">
        <v>53</v>
      </c>
      <c r="E17" s="7" t="s">
        <v>110</v>
      </c>
      <c r="F17" s="4">
        <v>29336</v>
      </c>
      <c r="G17" s="4" t="s">
        <v>112</v>
      </c>
      <c r="H17" s="7">
        <v>5</v>
      </c>
      <c r="I17" t="s">
        <v>1</v>
      </c>
      <c r="J17" t="s">
        <v>52</v>
      </c>
      <c r="K17" s="4">
        <v>37646</v>
      </c>
      <c r="L17" s="3">
        <v>4200000</v>
      </c>
      <c r="M17" s="5">
        <v>650000</v>
      </c>
      <c r="N17" s="2"/>
    </row>
    <row r="18" spans="1:14" x14ac:dyDescent="0.25">
      <c r="A18" t="s">
        <v>51</v>
      </c>
      <c r="B18" t="s">
        <v>50</v>
      </c>
      <c r="C18" t="s">
        <v>49</v>
      </c>
      <c r="D18" t="s">
        <v>48</v>
      </c>
      <c r="E18" s="7" t="s">
        <v>108</v>
      </c>
      <c r="F18" s="4">
        <v>30594</v>
      </c>
      <c r="G18" s="4" t="s">
        <v>112</v>
      </c>
      <c r="H18" s="7">
        <v>1</v>
      </c>
      <c r="I18" t="s">
        <v>18</v>
      </c>
      <c r="J18" t="s">
        <v>6</v>
      </c>
      <c r="K18" s="4"/>
      <c r="L18" s="3">
        <v>4500000</v>
      </c>
      <c r="M18" s="3">
        <v>700000</v>
      </c>
      <c r="N18" s="2"/>
    </row>
    <row r="19" spans="1:14" x14ac:dyDescent="0.25">
      <c r="A19" t="s">
        <v>47</v>
      </c>
      <c r="B19" t="s">
        <v>46</v>
      </c>
      <c r="C19" t="s">
        <v>45</v>
      </c>
      <c r="D19" t="s">
        <v>44</v>
      </c>
      <c r="E19" s="7" t="s">
        <v>108</v>
      </c>
      <c r="F19" s="4">
        <v>30480</v>
      </c>
      <c r="G19" s="4" t="s">
        <v>109</v>
      </c>
      <c r="H19" s="7">
        <v>4</v>
      </c>
      <c r="I19" t="s">
        <v>7</v>
      </c>
      <c r="J19" t="s">
        <v>0</v>
      </c>
      <c r="K19" s="4">
        <v>38293</v>
      </c>
      <c r="L19" s="3">
        <v>4800000</v>
      </c>
      <c r="M19" s="5">
        <v>750000</v>
      </c>
      <c r="N19" s="2"/>
    </row>
    <row r="20" spans="1:14" x14ac:dyDescent="0.25">
      <c r="A20" t="s">
        <v>43</v>
      </c>
      <c r="B20" t="s">
        <v>42</v>
      </c>
      <c r="C20" t="s">
        <v>41</v>
      </c>
      <c r="D20" t="s">
        <v>40</v>
      </c>
      <c r="E20" s="7" t="s">
        <v>110</v>
      </c>
      <c r="F20" s="4">
        <v>30899</v>
      </c>
      <c r="G20" s="4" t="s">
        <v>107</v>
      </c>
      <c r="H20" s="7">
        <v>0</v>
      </c>
      <c r="I20" t="s">
        <v>39</v>
      </c>
      <c r="J20" t="s">
        <v>12</v>
      </c>
      <c r="K20" s="4">
        <v>39156</v>
      </c>
      <c r="L20" s="3">
        <v>5100000</v>
      </c>
      <c r="M20" s="3">
        <v>800000</v>
      </c>
      <c r="N20" s="2"/>
    </row>
    <row r="21" spans="1:14" x14ac:dyDescent="0.25">
      <c r="A21" t="s">
        <v>38</v>
      </c>
      <c r="B21" t="s">
        <v>37</v>
      </c>
      <c r="C21" t="s">
        <v>36</v>
      </c>
      <c r="D21" t="s">
        <v>35</v>
      </c>
      <c r="E21" s="7" t="s">
        <v>110</v>
      </c>
      <c r="F21" s="4">
        <v>29362</v>
      </c>
      <c r="G21" s="4" t="s">
        <v>109</v>
      </c>
      <c r="H21" s="7">
        <v>6</v>
      </c>
      <c r="I21" t="s">
        <v>1</v>
      </c>
      <c r="J21" t="s">
        <v>0</v>
      </c>
      <c r="K21" s="4">
        <v>38477</v>
      </c>
      <c r="L21" s="3">
        <v>5400000</v>
      </c>
      <c r="M21" s="5">
        <v>850000</v>
      </c>
      <c r="N21" s="2"/>
    </row>
    <row r="22" spans="1:14" x14ac:dyDescent="0.25">
      <c r="A22" t="s">
        <v>34</v>
      </c>
      <c r="B22" t="s">
        <v>33</v>
      </c>
      <c r="C22" t="s">
        <v>32</v>
      </c>
      <c r="D22" t="s">
        <v>31</v>
      </c>
      <c r="E22" s="7" t="s">
        <v>108</v>
      </c>
      <c r="F22" s="4">
        <v>29485</v>
      </c>
      <c r="G22" s="4" t="s">
        <v>112</v>
      </c>
      <c r="H22" s="7">
        <v>1</v>
      </c>
      <c r="I22" t="s">
        <v>1</v>
      </c>
      <c r="J22" t="s">
        <v>6</v>
      </c>
      <c r="K22" s="4">
        <v>38677</v>
      </c>
      <c r="L22" s="3">
        <v>5700000</v>
      </c>
      <c r="M22" s="3">
        <v>900000</v>
      </c>
      <c r="N22" s="2"/>
    </row>
    <row r="23" spans="1:14" x14ac:dyDescent="0.25">
      <c r="A23" t="s">
        <v>30</v>
      </c>
      <c r="B23" t="s">
        <v>29</v>
      </c>
      <c r="C23" t="s">
        <v>28</v>
      </c>
      <c r="D23" t="s">
        <v>27</v>
      </c>
      <c r="E23" s="7" t="s">
        <v>110</v>
      </c>
      <c r="F23" s="4">
        <v>29266</v>
      </c>
      <c r="G23" s="4" t="s">
        <v>111</v>
      </c>
      <c r="H23" s="7">
        <v>0</v>
      </c>
      <c r="I23" t="s">
        <v>7</v>
      </c>
      <c r="J23" t="s">
        <v>0</v>
      </c>
      <c r="K23" s="4"/>
      <c r="L23" s="3">
        <v>6000000</v>
      </c>
      <c r="M23" s="5">
        <v>950000</v>
      </c>
      <c r="N23" s="2"/>
    </row>
    <row r="24" spans="1:14" x14ac:dyDescent="0.25">
      <c r="A24" t="s">
        <v>26</v>
      </c>
      <c r="B24" t="s">
        <v>25</v>
      </c>
      <c r="C24" t="s">
        <v>24</v>
      </c>
      <c r="D24" t="s">
        <v>23</v>
      </c>
      <c r="E24" s="7" t="s">
        <v>110</v>
      </c>
      <c r="F24" s="4">
        <v>29762</v>
      </c>
      <c r="G24" s="4" t="s">
        <v>107</v>
      </c>
      <c r="H24" s="7">
        <v>1</v>
      </c>
      <c r="I24" t="s">
        <v>18</v>
      </c>
      <c r="J24" t="s">
        <v>0</v>
      </c>
      <c r="K24" s="4">
        <v>38338</v>
      </c>
      <c r="L24" s="3">
        <v>6300000</v>
      </c>
      <c r="M24" s="3">
        <v>1000000</v>
      </c>
      <c r="N24" s="2"/>
    </row>
    <row r="25" spans="1:14" x14ac:dyDescent="0.25">
      <c r="A25" t="s">
        <v>22</v>
      </c>
      <c r="B25" t="s">
        <v>21</v>
      </c>
      <c r="C25" t="s">
        <v>20</v>
      </c>
      <c r="D25" t="s">
        <v>19</v>
      </c>
      <c r="E25" s="7" t="s">
        <v>110</v>
      </c>
      <c r="F25" s="4">
        <v>29728</v>
      </c>
      <c r="G25" s="4" t="s">
        <v>107</v>
      </c>
      <c r="H25" s="7">
        <v>2</v>
      </c>
      <c r="I25" t="s">
        <v>18</v>
      </c>
      <c r="J25" t="s">
        <v>0</v>
      </c>
      <c r="K25" s="4">
        <v>38050</v>
      </c>
      <c r="L25" s="3">
        <v>6600000</v>
      </c>
      <c r="M25" s="5">
        <v>1050000</v>
      </c>
      <c r="N25" s="2"/>
    </row>
    <row r="26" spans="1:14" x14ac:dyDescent="0.25">
      <c r="A26" t="s">
        <v>17</v>
      </c>
      <c r="B26" t="s">
        <v>16</v>
      </c>
      <c r="C26" t="s">
        <v>15</v>
      </c>
      <c r="D26" t="s">
        <v>14</v>
      </c>
      <c r="E26" s="7" t="s">
        <v>110</v>
      </c>
      <c r="F26" s="4">
        <v>29298</v>
      </c>
      <c r="G26" s="4" t="s">
        <v>109</v>
      </c>
      <c r="H26" s="7">
        <v>3</v>
      </c>
      <c r="I26" t="s">
        <v>13</v>
      </c>
      <c r="J26" t="s">
        <v>12</v>
      </c>
      <c r="K26" s="4">
        <v>40358</v>
      </c>
      <c r="L26" s="3">
        <v>6900000</v>
      </c>
      <c r="M26" s="3">
        <v>1100000</v>
      </c>
      <c r="N26" s="2"/>
    </row>
    <row r="27" spans="1:14" x14ac:dyDescent="0.25">
      <c r="A27" t="s">
        <v>11</v>
      </c>
      <c r="B27" t="s">
        <v>10</v>
      </c>
      <c r="C27" t="s">
        <v>9</v>
      </c>
      <c r="D27" t="s">
        <v>8</v>
      </c>
      <c r="E27" s="7" t="s">
        <v>110</v>
      </c>
      <c r="F27" s="4">
        <v>30841</v>
      </c>
      <c r="G27" s="4" t="s">
        <v>109</v>
      </c>
      <c r="H27" s="7">
        <v>5</v>
      </c>
      <c r="I27" t="s">
        <v>7</v>
      </c>
      <c r="J27" t="s">
        <v>6</v>
      </c>
      <c r="K27" s="4">
        <v>42507</v>
      </c>
      <c r="L27" s="3">
        <v>7200000</v>
      </c>
      <c r="M27" s="5">
        <v>1150000</v>
      </c>
      <c r="N27" s="2"/>
    </row>
    <row r="28" spans="1:14" x14ac:dyDescent="0.25">
      <c r="A28" t="s">
        <v>5</v>
      </c>
      <c r="B28" t="s">
        <v>4</v>
      </c>
      <c r="C28" t="s">
        <v>3</v>
      </c>
      <c r="D28" t="s">
        <v>2</v>
      </c>
      <c r="E28" s="7" t="s">
        <v>108</v>
      </c>
      <c r="F28" s="4">
        <v>29919</v>
      </c>
      <c r="G28" s="4" t="s">
        <v>107</v>
      </c>
      <c r="H28" s="7">
        <v>4</v>
      </c>
      <c r="I28" t="s">
        <v>1</v>
      </c>
      <c r="J28" t="s">
        <v>0</v>
      </c>
      <c r="K28" s="4">
        <v>39917</v>
      </c>
      <c r="L28" s="3">
        <v>7500000</v>
      </c>
      <c r="M28" s="3">
        <v>1200000</v>
      </c>
      <c r="N28" s="2"/>
    </row>
    <row r="29" spans="1:14" x14ac:dyDescent="0.25">
      <c r="L29" s="1"/>
      <c r="M29" s="1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6B18-EC15-4DE6-9DDC-F9BF1B160F0E}">
  <dimension ref="A3:F10"/>
  <sheetViews>
    <sheetView workbookViewId="0">
      <selection activeCell="P23" sqref="P23"/>
    </sheetView>
  </sheetViews>
  <sheetFormatPr baseColWidth="10" defaultRowHeight="15" x14ac:dyDescent="0.25"/>
  <cols>
    <col min="1" max="1" width="20" bestFit="1" customWidth="1"/>
    <col min="2" max="2" width="22.42578125" bestFit="1" customWidth="1"/>
    <col min="3" max="3" width="9.85546875" bestFit="1" customWidth="1"/>
    <col min="4" max="4" width="10" bestFit="1" customWidth="1"/>
    <col min="5" max="5" width="9.140625" bestFit="1" customWidth="1"/>
    <col min="6" max="6" width="12.5703125" bestFit="1" customWidth="1"/>
  </cols>
  <sheetData>
    <row r="3" spans="1:6" x14ac:dyDescent="0.25">
      <c r="A3" s="8" t="s">
        <v>127</v>
      </c>
      <c r="B3" s="8" t="s">
        <v>126</v>
      </c>
    </row>
    <row r="4" spans="1:6" x14ac:dyDescent="0.25">
      <c r="A4" s="8" t="s">
        <v>121</v>
      </c>
      <c r="B4" t="s">
        <v>52</v>
      </c>
      <c r="C4" t="s">
        <v>0</v>
      </c>
      <c r="D4" t="s">
        <v>6</v>
      </c>
      <c r="E4" t="s">
        <v>12</v>
      </c>
      <c r="F4" t="s">
        <v>122</v>
      </c>
    </row>
    <row r="5" spans="1:6" x14ac:dyDescent="0.25">
      <c r="A5" s="9" t="s">
        <v>7</v>
      </c>
      <c r="B5" s="16">
        <v>1.3468013468013467E-2</v>
      </c>
      <c r="C5" s="16">
        <v>0.11447811447811448</v>
      </c>
      <c r="D5" s="16">
        <v>7.7441077441077436E-2</v>
      </c>
      <c r="E5" s="16">
        <v>1.0101010101010102E-2</v>
      </c>
      <c r="F5" s="16">
        <v>0.21548821548821548</v>
      </c>
    </row>
    <row r="6" spans="1:6" x14ac:dyDescent="0.25">
      <c r="A6" s="9" t="s">
        <v>1</v>
      </c>
      <c r="B6" s="16">
        <v>0.1111111111111111</v>
      </c>
      <c r="C6" s="16">
        <v>0.13804713804713806</v>
      </c>
      <c r="D6" s="16">
        <v>6.0606060606060608E-2</v>
      </c>
      <c r="E6" s="16">
        <v>0</v>
      </c>
      <c r="F6" s="16">
        <v>0.30976430976430974</v>
      </c>
    </row>
    <row r="7" spans="1:6" x14ac:dyDescent="0.25">
      <c r="A7" s="9" t="s">
        <v>18</v>
      </c>
      <c r="B7" s="16">
        <v>4.3771043771043773E-2</v>
      </c>
      <c r="C7" s="16">
        <v>0.13804713804713806</v>
      </c>
      <c r="D7" s="16">
        <v>8.7542087542087546E-2</v>
      </c>
      <c r="E7" s="16">
        <v>3.3670033670033669E-2</v>
      </c>
      <c r="F7" s="16">
        <v>0.30303030303030304</v>
      </c>
    </row>
    <row r="8" spans="1:6" x14ac:dyDescent="0.25">
      <c r="A8" s="9" t="s">
        <v>39</v>
      </c>
      <c r="B8" s="16">
        <v>0</v>
      </c>
      <c r="C8" s="16">
        <v>2.3569023569023569E-2</v>
      </c>
      <c r="D8" s="16">
        <v>0</v>
      </c>
      <c r="E8" s="16">
        <v>5.387205387205387E-2</v>
      </c>
      <c r="F8" s="16">
        <v>7.7441077441077436E-2</v>
      </c>
    </row>
    <row r="9" spans="1:6" x14ac:dyDescent="0.25">
      <c r="A9" s="9" t="s">
        <v>13</v>
      </c>
      <c r="B9" s="16">
        <v>0</v>
      </c>
      <c r="C9" s="16">
        <v>0</v>
      </c>
      <c r="D9" s="16">
        <v>2.0202020202020204E-2</v>
      </c>
      <c r="E9" s="16">
        <v>7.407407407407407E-2</v>
      </c>
      <c r="F9" s="16">
        <v>9.4276094276094277E-2</v>
      </c>
    </row>
    <row r="10" spans="1:6" x14ac:dyDescent="0.25">
      <c r="A10" s="9" t="s">
        <v>122</v>
      </c>
      <c r="B10" s="16">
        <v>0.16835016835016836</v>
      </c>
      <c r="C10" s="16">
        <v>0.41414141414141414</v>
      </c>
      <c r="D10" s="16">
        <v>0.24579124579124578</v>
      </c>
      <c r="E10" s="16">
        <v>0.17171717171717171</v>
      </c>
      <c r="F10" s="16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9"/>
  <sheetViews>
    <sheetView tabSelected="1" zoomScale="90" zoomScaleNormal="90" workbookViewId="0">
      <selection activeCell="A6" sqref="A6:M28"/>
    </sheetView>
  </sheetViews>
  <sheetFormatPr baseColWidth="10" defaultRowHeight="15" x14ac:dyDescent="0.25"/>
  <cols>
    <col min="1" max="1" width="10.140625" bestFit="1" customWidth="1"/>
    <col min="2" max="2" width="12.42578125" bestFit="1" customWidth="1"/>
    <col min="3" max="3" width="12.85546875" bestFit="1" customWidth="1"/>
    <col min="4" max="4" width="17.28515625" bestFit="1" customWidth="1"/>
    <col min="5" max="5" width="5.28515625" style="7" bestFit="1" customWidth="1"/>
    <col min="6" max="6" width="13.28515625" bestFit="1" customWidth="1"/>
    <col min="7" max="7" width="11.140625" bestFit="1" customWidth="1"/>
    <col min="8" max="8" width="5.42578125" bestFit="1" customWidth="1"/>
    <col min="9" max="9" width="17.7109375" bestFit="1" customWidth="1"/>
    <col min="10" max="10" width="13.5703125" customWidth="1"/>
    <col min="11" max="11" width="11.5703125" bestFit="1" customWidth="1"/>
    <col min="12" max="12" width="15.42578125" bestFit="1" customWidth="1"/>
    <col min="13" max="13" width="17.85546875" customWidth="1"/>
    <col min="14" max="15" width="10.28515625" customWidth="1"/>
  </cols>
  <sheetData>
    <row r="1" spans="1:14" ht="18.75" customHeight="1" x14ac:dyDescent="0.25"/>
    <row r="2" spans="1:14" ht="18.75" customHeight="1" x14ac:dyDescent="0.25"/>
    <row r="3" spans="1:14" ht="18.75" customHeight="1" x14ac:dyDescent="0.25"/>
    <row r="4" spans="1:14" ht="18.75" customHeight="1" x14ac:dyDescent="0.25"/>
    <row r="5" spans="1:14" ht="18.75" customHeight="1" x14ac:dyDescent="0.25"/>
    <row r="6" spans="1:14" x14ac:dyDescent="0.25">
      <c r="A6" s="6" t="s">
        <v>106</v>
      </c>
      <c r="B6" s="6" t="s">
        <v>105</v>
      </c>
      <c r="C6" s="6" t="s">
        <v>104</v>
      </c>
      <c r="D6" s="6" t="s">
        <v>103</v>
      </c>
      <c r="E6" s="6" t="s">
        <v>115</v>
      </c>
      <c r="F6" s="6" t="s">
        <v>102</v>
      </c>
      <c r="G6" s="6" t="s">
        <v>114</v>
      </c>
      <c r="H6" s="6" t="s">
        <v>113</v>
      </c>
      <c r="I6" s="6" t="s">
        <v>101</v>
      </c>
      <c r="J6" s="6" t="s">
        <v>100</v>
      </c>
      <c r="K6" s="6" t="s">
        <v>99</v>
      </c>
      <c r="L6" s="6" t="s">
        <v>98</v>
      </c>
      <c r="M6" s="6" t="s">
        <v>97</v>
      </c>
    </row>
    <row r="7" spans="1:14" x14ac:dyDescent="0.25">
      <c r="A7" t="s">
        <v>96</v>
      </c>
      <c r="B7" t="s">
        <v>95</v>
      </c>
      <c r="C7" t="s">
        <v>94</v>
      </c>
      <c r="D7" t="s">
        <v>93</v>
      </c>
      <c r="E7" s="7" t="s">
        <v>110</v>
      </c>
      <c r="F7" s="4">
        <v>29890</v>
      </c>
      <c r="G7" s="4" t="s">
        <v>111</v>
      </c>
      <c r="H7" s="7">
        <v>1</v>
      </c>
      <c r="I7" t="s">
        <v>7</v>
      </c>
      <c r="J7" t="s">
        <v>12</v>
      </c>
      <c r="K7" s="4">
        <v>36544</v>
      </c>
      <c r="L7" s="3">
        <v>1200000</v>
      </c>
      <c r="M7" s="5">
        <v>150000</v>
      </c>
      <c r="N7" s="2"/>
    </row>
    <row r="8" spans="1:14" x14ac:dyDescent="0.25">
      <c r="A8" t="s">
        <v>92</v>
      </c>
      <c r="B8" t="s">
        <v>91</v>
      </c>
      <c r="C8" t="s">
        <v>90</v>
      </c>
      <c r="D8" t="s">
        <v>89</v>
      </c>
      <c r="E8" s="7" t="s">
        <v>110</v>
      </c>
      <c r="F8" s="4">
        <v>30193</v>
      </c>
      <c r="G8" s="4" t="s">
        <v>111</v>
      </c>
      <c r="H8" s="7">
        <v>2</v>
      </c>
      <c r="I8" t="s">
        <v>7</v>
      </c>
      <c r="J8" t="s">
        <v>52</v>
      </c>
      <c r="K8" s="4">
        <v>40097</v>
      </c>
      <c r="L8" s="3">
        <v>1500000</v>
      </c>
      <c r="M8" s="3">
        <v>200000</v>
      </c>
      <c r="N8" s="2"/>
    </row>
    <row r="9" spans="1:14" x14ac:dyDescent="0.25">
      <c r="A9" t="s">
        <v>88</v>
      </c>
      <c r="B9" t="s">
        <v>87</v>
      </c>
      <c r="C9" t="s">
        <v>86</v>
      </c>
      <c r="D9" t="s">
        <v>85</v>
      </c>
      <c r="E9" s="7" t="s">
        <v>110</v>
      </c>
      <c r="F9" s="4">
        <v>29690</v>
      </c>
      <c r="G9" s="4" t="s">
        <v>111</v>
      </c>
      <c r="H9" s="7">
        <v>4</v>
      </c>
      <c r="I9" t="s">
        <v>18</v>
      </c>
      <c r="J9" t="s">
        <v>52</v>
      </c>
      <c r="K9" s="4"/>
      <c r="L9" s="3">
        <v>1800000</v>
      </c>
      <c r="M9" s="5">
        <v>250000</v>
      </c>
      <c r="N9" s="2"/>
    </row>
    <row r="10" spans="1:14" x14ac:dyDescent="0.25">
      <c r="A10" t="s">
        <v>84</v>
      </c>
      <c r="B10" t="s">
        <v>83</v>
      </c>
      <c r="C10" t="s">
        <v>82</v>
      </c>
      <c r="D10" t="s">
        <v>81</v>
      </c>
      <c r="E10" s="7" t="s">
        <v>108</v>
      </c>
      <c r="F10" s="4">
        <v>30863</v>
      </c>
      <c r="G10" s="4" t="s">
        <v>109</v>
      </c>
      <c r="H10" s="7">
        <v>5</v>
      </c>
      <c r="I10" t="s">
        <v>13</v>
      </c>
      <c r="J10" t="s">
        <v>6</v>
      </c>
      <c r="K10" s="4">
        <v>39645</v>
      </c>
      <c r="L10" s="3">
        <v>2100000</v>
      </c>
      <c r="M10" s="3">
        <v>300000</v>
      </c>
      <c r="N10" s="2"/>
    </row>
    <row r="11" spans="1:14" x14ac:dyDescent="0.25">
      <c r="A11" t="s">
        <v>80</v>
      </c>
      <c r="B11" t="s">
        <v>79</v>
      </c>
      <c r="C11" t="s">
        <v>78</v>
      </c>
      <c r="D11" t="s">
        <v>77</v>
      </c>
      <c r="E11" s="7" t="s">
        <v>108</v>
      </c>
      <c r="F11" s="4">
        <v>30677</v>
      </c>
      <c r="G11" s="4" t="s">
        <v>107</v>
      </c>
      <c r="H11" s="7">
        <v>1</v>
      </c>
      <c r="I11" t="s">
        <v>39</v>
      </c>
      <c r="J11" t="s">
        <v>0</v>
      </c>
      <c r="K11" s="4">
        <v>40671</v>
      </c>
      <c r="L11" s="3">
        <v>2400000</v>
      </c>
      <c r="M11" s="5">
        <v>350000</v>
      </c>
      <c r="N11" s="2"/>
    </row>
    <row r="12" spans="1:14" x14ac:dyDescent="0.25">
      <c r="A12" t="s">
        <v>76</v>
      </c>
      <c r="B12" t="s">
        <v>75</v>
      </c>
      <c r="C12" t="s">
        <v>74</v>
      </c>
      <c r="D12" t="s">
        <v>73</v>
      </c>
      <c r="E12" s="7" t="s">
        <v>110</v>
      </c>
      <c r="F12" s="4">
        <v>30826</v>
      </c>
      <c r="G12" s="4" t="s">
        <v>111</v>
      </c>
      <c r="H12" s="7">
        <v>6</v>
      </c>
      <c r="I12" t="s">
        <v>18</v>
      </c>
      <c r="J12" t="s">
        <v>52</v>
      </c>
      <c r="K12" s="4"/>
      <c r="L12" s="3">
        <v>2700000</v>
      </c>
      <c r="M12" s="3">
        <v>400000</v>
      </c>
      <c r="N12" s="2"/>
    </row>
    <row r="13" spans="1:14" x14ac:dyDescent="0.25">
      <c r="A13" t="s">
        <v>72</v>
      </c>
      <c r="B13" t="s">
        <v>71</v>
      </c>
      <c r="C13" t="s">
        <v>70</v>
      </c>
      <c r="D13" t="s">
        <v>69</v>
      </c>
      <c r="E13" s="7" t="s">
        <v>110</v>
      </c>
      <c r="F13" s="4">
        <v>30848</v>
      </c>
      <c r="G13" s="4" t="s">
        <v>107</v>
      </c>
      <c r="H13" s="7">
        <v>3</v>
      </c>
      <c r="I13" t="s">
        <v>1</v>
      </c>
      <c r="J13" t="s">
        <v>52</v>
      </c>
      <c r="K13" s="4">
        <v>40200</v>
      </c>
      <c r="L13" s="3">
        <v>3000000</v>
      </c>
      <c r="M13" s="5">
        <v>450000</v>
      </c>
      <c r="N13" s="2"/>
    </row>
    <row r="14" spans="1:14" x14ac:dyDescent="0.25">
      <c r="A14" t="s">
        <v>68</v>
      </c>
      <c r="B14" t="s">
        <v>67</v>
      </c>
      <c r="C14" t="s">
        <v>66</v>
      </c>
      <c r="D14" t="s">
        <v>65</v>
      </c>
      <c r="E14" s="7" t="s">
        <v>110</v>
      </c>
      <c r="F14" s="4">
        <v>29998</v>
      </c>
      <c r="G14" s="4" t="s">
        <v>109</v>
      </c>
      <c r="H14" s="7">
        <v>5</v>
      </c>
      <c r="I14" t="s">
        <v>18</v>
      </c>
      <c r="J14" t="s">
        <v>12</v>
      </c>
      <c r="K14" s="4">
        <v>43064</v>
      </c>
      <c r="L14" s="3">
        <v>3300000</v>
      </c>
      <c r="M14" s="3">
        <v>500000</v>
      </c>
      <c r="N14" s="2"/>
    </row>
    <row r="15" spans="1:14" x14ac:dyDescent="0.25">
      <c r="A15" t="s">
        <v>64</v>
      </c>
      <c r="B15" t="s">
        <v>63</v>
      </c>
      <c r="C15" t="s">
        <v>62</v>
      </c>
      <c r="D15" t="s">
        <v>61</v>
      </c>
      <c r="E15" s="7" t="s">
        <v>110</v>
      </c>
      <c r="F15" s="4">
        <v>29691</v>
      </c>
      <c r="G15" s="4" t="s">
        <v>109</v>
      </c>
      <c r="H15" s="7">
        <v>6</v>
      </c>
      <c r="I15" t="s">
        <v>1</v>
      </c>
      <c r="J15" t="s">
        <v>52</v>
      </c>
      <c r="K15" s="4">
        <v>40755</v>
      </c>
      <c r="L15" s="3">
        <v>3600000</v>
      </c>
      <c r="M15" s="5">
        <v>550000</v>
      </c>
      <c r="N15" s="2"/>
    </row>
    <row r="16" spans="1:14" x14ac:dyDescent="0.25">
      <c r="A16" t="s">
        <v>60</v>
      </c>
      <c r="B16" t="s">
        <v>59</v>
      </c>
      <c r="C16" t="s">
        <v>58</v>
      </c>
      <c r="D16" t="s">
        <v>57</v>
      </c>
      <c r="E16" s="7" t="s">
        <v>110</v>
      </c>
      <c r="F16" s="4">
        <v>30979</v>
      </c>
      <c r="G16" s="4" t="s">
        <v>112</v>
      </c>
      <c r="H16" s="7">
        <v>6</v>
      </c>
      <c r="I16" t="s">
        <v>18</v>
      </c>
      <c r="J16" t="s">
        <v>6</v>
      </c>
      <c r="K16" s="4"/>
      <c r="L16" s="3">
        <v>3900000</v>
      </c>
      <c r="M16" s="3">
        <v>600000</v>
      </c>
      <c r="N16" s="2"/>
    </row>
    <row r="17" spans="1:14" x14ac:dyDescent="0.25">
      <c r="A17" t="s">
        <v>56</v>
      </c>
      <c r="B17" t="s">
        <v>55</v>
      </c>
      <c r="C17" t="s">
        <v>54</v>
      </c>
      <c r="D17" t="s">
        <v>53</v>
      </c>
      <c r="E17" s="7" t="s">
        <v>110</v>
      </c>
      <c r="F17" s="4">
        <v>29336</v>
      </c>
      <c r="G17" s="4" t="s">
        <v>112</v>
      </c>
      <c r="H17" s="7">
        <v>5</v>
      </c>
      <c r="I17" t="s">
        <v>1</v>
      </c>
      <c r="J17" t="s">
        <v>52</v>
      </c>
      <c r="K17" s="4">
        <v>37646</v>
      </c>
      <c r="L17" s="3">
        <v>4200000</v>
      </c>
      <c r="M17" s="5">
        <v>650000</v>
      </c>
      <c r="N17" s="2"/>
    </row>
    <row r="18" spans="1:14" x14ac:dyDescent="0.25">
      <c r="A18" t="s">
        <v>51</v>
      </c>
      <c r="B18" t="s">
        <v>50</v>
      </c>
      <c r="C18" t="s">
        <v>49</v>
      </c>
      <c r="D18" t="s">
        <v>48</v>
      </c>
      <c r="E18" s="7" t="s">
        <v>108</v>
      </c>
      <c r="F18" s="4">
        <v>30594</v>
      </c>
      <c r="G18" s="4" t="s">
        <v>112</v>
      </c>
      <c r="H18" s="7">
        <v>1</v>
      </c>
      <c r="I18" t="s">
        <v>18</v>
      </c>
      <c r="J18" t="s">
        <v>6</v>
      </c>
      <c r="K18" s="4"/>
      <c r="L18" s="3">
        <v>4500000</v>
      </c>
      <c r="M18" s="3">
        <v>700000</v>
      </c>
      <c r="N18" s="2"/>
    </row>
    <row r="19" spans="1:14" x14ac:dyDescent="0.25">
      <c r="A19" t="s">
        <v>47</v>
      </c>
      <c r="B19" t="s">
        <v>46</v>
      </c>
      <c r="C19" t="s">
        <v>45</v>
      </c>
      <c r="D19" t="s">
        <v>44</v>
      </c>
      <c r="E19" s="7" t="s">
        <v>108</v>
      </c>
      <c r="F19" s="4">
        <v>30480</v>
      </c>
      <c r="G19" s="4" t="s">
        <v>109</v>
      </c>
      <c r="H19" s="7">
        <v>4</v>
      </c>
      <c r="I19" t="s">
        <v>7</v>
      </c>
      <c r="J19" t="s">
        <v>0</v>
      </c>
      <c r="K19" s="4">
        <v>38293</v>
      </c>
      <c r="L19" s="3">
        <v>4800000</v>
      </c>
      <c r="M19" s="5">
        <v>750000</v>
      </c>
      <c r="N19" s="2"/>
    </row>
    <row r="20" spans="1:14" x14ac:dyDescent="0.25">
      <c r="A20" t="s">
        <v>43</v>
      </c>
      <c r="B20" t="s">
        <v>42</v>
      </c>
      <c r="C20" t="s">
        <v>41</v>
      </c>
      <c r="D20" t="s">
        <v>40</v>
      </c>
      <c r="E20" s="7" t="s">
        <v>110</v>
      </c>
      <c r="F20" s="4">
        <v>30899</v>
      </c>
      <c r="G20" s="4" t="s">
        <v>107</v>
      </c>
      <c r="H20" s="7">
        <v>0</v>
      </c>
      <c r="I20" t="s">
        <v>39</v>
      </c>
      <c r="J20" t="s">
        <v>12</v>
      </c>
      <c r="K20" s="4">
        <v>39156</v>
      </c>
      <c r="L20" s="3">
        <v>5100000</v>
      </c>
      <c r="M20" s="3">
        <v>800000</v>
      </c>
      <c r="N20" s="2"/>
    </row>
    <row r="21" spans="1:14" x14ac:dyDescent="0.25">
      <c r="A21" t="s">
        <v>38</v>
      </c>
      <c r="B21" t="s">
        <v>37</v>
      </c>
      <c r="C21" t="s">
        <v>36</v>
      </c>
      <c r="D21" t="s">
        <v>35</v>
      </c>
      <c r="E21" s="7" t="s">
        <v>110</v>
      </c>
      <c r="F21" s="4">
        <v>29362</v>
      </c>
      <c r="G21" s="4" t="s">
        <v>109</v>
      </c>
      <c r="H21" s="7">
        <v>6</v>
      </c>
      <c r="I21" t="s">
        <v>1</v>
      </c>
      <c r="J21" t="s">
        <v>0</v>
      </c>
      <c r="K21" s="4">
        <v>38477</v>
      </c>
      <c r="L21" s="3">
        <v>5400000</v>
      </c>
      <c r="M21" s="5">
        <v>850000</v>
      </c>
      <c r="N21" s="2"/>
    </row>
    <row r="22" spans="1:14" x14ac:dyDescent="0.25">
      <c r="A22" t="s">
        <v>34</v>
      </c>
      <c r="B22" t="s">
        <v>33</v>
      </c>
      <c r="C22" t="s">
        <v>32</v>
      </c>
      <c r="D22" t="s">
        <v>31</v>
      </c>
      <c r="E22" s="7" t="s">
        <v>108</v>
      </c>
      <c r="F22" s="4">
        <v>29485</v>
      </c>
      <c r="G22" s="4" t="s">
        <v>112</v>
      </c>
      <c r="H22" s="7">
        <v>1</v>
      </c>
      <c r="I22" t="s">
        <v>1</v>
      </c>
      <c r="J22" t="s">
        <v>6</v>
      </c>
      <c r="K22" s="4">
        <v>38677</v>
      </c>
      <c r="L22" s="3">
        <v>5700000</v>
      </c>
      <c r="M22" s="3">
        <v>900000</v>
      </c>
      <c r="N22" s="2"/>
    </row>
    <row r="23" spans="1:14" x14ac:dyDescent="0.25">
      <c r="A23" t="s">
        <v>30</v>
      </c>
      <c r="B23" t="s">
        <v>29</v>
      </c>
      <c r="C23" t="s">
        <v>28</v>
      </c>
      <c r="D23" t="s">
        <v>27</v>
      </c>
      <c r="E23" s="7" t="s">
        <v>110</v>
      </c>
      <c r="F23" s="4">
        <v>29266</v>
      </c>
      <c r="G23" s="4" t="s">
        <v>111</v>
      </c>
      <c r="H23" s="7">
        <v>0</v>
      </c>
      <c r="I23" t="s">
        <v>7</v>
      </c>
      <c r="J23" t="s">
        <v>0</v>
      </c>
      <c r="K23" s="4"/>
      <c r="L23" s="3">
        <v>6000000</v>
      </c>
      <c r="M23" s="5">
        <v>950000</v>
      </c>
      <c r="N23" s="2"/>
    </row>
    <row r="24" spans="1:14" x14ac:dyDescent="0.25">
      <c r="A24" t="s">
        <v>26</v>
      </c>
      <c r="B24" t="s">
        <v>25</v>
      </c>
      <c r="C24" t="s">
        <v>24</v>
      </c>
      <c r="D24" t="s">
        <v>23</v>
      </c>
      <c r="E24" s="7" t="s">
        <v>110</v>
      </c>
      <c r="F24" s="4">
        <v>29762</v>
      </c>
      <c r="G24" s="4" t="s">
        <v>107</v>
      </c>
      <c r="H24" s="7">
        <v>1</v>
      </c>
      <c r="I24" t="s">
        <v>18</v>
      </c>
      <c r="J24" t="s">
        <v>0</v>
      </c>
      <c r="K24" s="4">
        <v>38338</v>
      </c>
      <c r="L24" s="3">
        <v>6300000</v>
      </c>
      <c r="M24" s="3">
        <v>1000000</v>
      </c>
      <c r="N24" s="2"/>
    </row>
    <row r="25" spans="1:14" x14ac:dyDescent="0.25">
      <c r="A25" t="s">
        <v>22</v>
      </c>
      <c r="B25" t="s">
        <v>21</v>
      </c>
      <c r="C25" t="s">
        <v>20</v>
      </c>
      <c r="D25" t="s">
        <v>19</v>
      </c>
      <c r="E25" s="7" t="s">
        <v>110</v>
      </c>
      <c r="F25" s="4">
        <v>29728</v>
      </c>
      <c r="G25" s="4" t="s">
        <v>107</v>
      </c>
      <c r="H25" s="7">
        <v>2</v>
      </c>
      <c r="I25" t="s">
        <v>18</v>
      </c>
      <c r="J25" t="s">
        <v>0</v>
      </c>
      <c r="K25" s="4">
        <v>38050</v>
      </c>
      <c r="L25" s="3">
        <v>6600000</v>
      </c>
      <c r="M25" s="5">
        <v>1050000</v>
      </c>
      <c r="N25" s="2"/>
    </row>
    <row r="26" spans="1:14" x14ac:dyDescent="0.25">
      <c r="A26" t="s">
        <v>17</v>
      </c>
      <c r="B26" t="s">
        <v>16</v>
      </c>
      <c r="C26" t="s">
        <v>15</v>
      </c>
      <c r="D26" t="s">
        <v>14</v>
      </c>
      <c r="E26" s="7" t="s">
        <v>110</v>
      </c>
      <c r="F26" s="4">
        <v>29298</v>
      </c>
      <c r="G26" s="4" t="s">
        <v>109</v>
      </c>
      <c r="H26" s="7">
        <v>3</v>
      </c>
      <c r="I26" t="s">
        <v>13</v>
      </c>
      <c r="J26" t="s">
        <v>12</v>
      </c>
      <c r="K26" s="4">
        <v>40358</v>
      </c>
      <c r="L26" s="3">
        <v>6900000</v>
      </c>
      <c r="M26" s="3">
        <v>1100000</v>
      </c>
      <c r="N26" s="2"/>
    </row>
    <row r="27" spans="1:14" x14ac:dyDescent="0.25">
      <c r="A27" t="s">
        <v>11</v>
      </c>
      <c r="B27" t="s">
        <v>10</v>
      </c>
      <c r="C27" t="s">
        <v>9</v>
      </c>
      <c r="D27" t="s">
        <v>8</v>
      </c>
      <c r="E27" s="7" t="s">
        <v>110</v>
      </c>
      <c r="F27" s="4">
        <v>30841</v>
      </c>
      <c r="G27" s="4" t="s">
        <v>109</v>
      </c>
      <c r="H27" s="7">
        <v>5</v>
      </c>
      <c r="I27" t="s">
        <v>7</v>
      </c>
      <c r="J27" t="s">
        <v>6</v>
      </c>
      <c r="K27" s="4">
        <v>42507</v>
      </c>
      <c r="L27" s="3">
        <v>7200000</v>
      </c>
      <c r="M27" s="5">
        <v>1150000</v>
      </c>
      <c r="N27" s="2"/>
    </row>
    <row r="28" spans="1:14" x14ac:dyDescent="0.25">
      <c r="A28" t="s">
        <v>5</v>
      </c>
      <c r="B28" t="s">
        <v>4</v>
      </c>
      <c r="C28" t="s">
        <v>3</v>
      </c>
      <c r="D28" t="s">
        <v>2</v>
      </c>
      <c r="E28" s="7" t="s">
        <v>108</v>
      </c>
      <c r="F28" s="4">
        <v>29919</v>
      </c>
      <c r="G28" s="4" t="s">
        <v>107</v>
      </c>
      <c r="H28" s="7">
        <v>4</v>
      </c>
      <c r="I28" t="s">
        <v>1</v>
      </c>
      <c r="J28" t="s">
        <v>0</v>
      </c>
      <c r="K28" s="4">
        <v>39917</v>
      </c>
      <c r="L28" s="3">
        <v>7500000</v>
      </c>
      <c r="M28" s="3">
        <v>1200000</v>
      </c>
      <c r="N28" s="2"/>
    </row>
    <row r="29" spans="1:14" x14ac:dyDescent="0.25">
      <c r="L29" s="1"/>
      <c r="M29" s="1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Hoja2</vt:lpstr>
      <vt:lpstr>Hoja1</vt:lpstr>
      <vt:lpstr>Ejercicios 01</vt:lpstr>
      <vt:lpstr>Ejercicios 02</vt:lpstr>
      <vt:lpstr>Hoja4</vt:lpstr>
      <vt:lpstr>Hoja3</vt:lpstr>
      <vt:lpstr>Ejercicios 03</vt:lpstr>
      <vt:lpstr>Hoja5</vt:lpstr>
      <vt:lpstr>Ejercicios 04</vt:lpstr>
      <vt:lpstr>Hoja6</vt:lpstr>
      <vt:lpstr>Ejercicios 05</vt:lpstr>
      <vt:lpstr>Hoja7</vt:lpstr>
      <vt:lpstr>Ejercicios 06</vt:lpstr>
      <vt:lpstr>Hoja8</vt:lpstr>
      <vt:lpstr>Ejercicios 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Giovanny Bustamante Maldonado</dc:creator>
  <cp:lastModifiedBy>ADSO</cp:lastModifiedBy>
  <dcterms:created xsi:type="dcterms:W3CDTF">2020-05-19T03:20:46Z</dcterms:created>
  <dcterms:modified xsi:type="dcterms:W3CDTF">2025-02-22T00:44:53Z</dcterms:modified>
</cp:coreProperties>
</file>