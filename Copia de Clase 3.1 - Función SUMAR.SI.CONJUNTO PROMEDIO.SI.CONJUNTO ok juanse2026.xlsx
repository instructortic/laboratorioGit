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SO\Desktop\"/>
    </mc:Choice>
  </mc:AlternateContent>
  <xr:revisionPtr revIDLastSave="0" documentId="13_ncr:1_{EBCD4C65-376D-48CD-96F6-BD02D30ED1EB}" xr6:coauthVersionLast="36" xr6:coauthVersionMax="47" xr10:uidLastSave="{00000000-0000-0000-0000-000000000000}"/>
  <bookViews>
    <workbookView xWindow="0" yWindow="0" windowWidth="28800" windowHeight="12105" xr2:uid="{00000000-000D-0000-FFFF-FFFF00000000}"/>
  </bookViews>
  <sheets>
    <sheet name="Ejercicio" sheetId="1" r:id="rId1"/>
    <sheet name="Gráfico4" sheetId="10" r:id="rId2"/>
    <sheet name="Gráficos" sheetId="3" r:id="rId3"/>
    <sheet name="Atajos1" sheetId="2" r:id="rId4"/>
    <sheet name="Series fórmulas" sheetId="4" r:id="rId5"/>
    <sheet name="Formatos" sheetId="5" r:id="rId6"/>
  </sheets>
  <definedNames>
    <definedName name="_xlnm._FilterDatabase" localSheetId="0" hidden="1">Ejercicio!$A$1:$G$947</definedName>
    <definedName name="Cantidad">Ejercicio!$E$2:$E$947</definedName>
    <definedName name="Código">Ejercicio!$A$2:$A$947</definedName>
    <definedName name="Costo_total">Ejercicio!$G$2:$G$947</definedName>
    <definedName name="Costo_unitario">Ejercicio!$F$2:$F$947</definedName>
    <definedName name="Destino">Ejercicio!$C$2:$C$947</definedName>
    <definedName name="Fecha_Ingreso">Ejercicio!$D$2:$D$947</definedName>
    <definedName name="Procedencia">Ejercicio!$B$2:$B$947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4" l="1"/>
  <c r="E9" i="4"/>
  <c r="F9" i="4"/>
  <c r="C9" i="4"/>
  <c r="D8" i="4"/>
  <c r="E8" i="4"/>
  <c r="F8" i="4"/>
  <c r="C8" i="4"/>
  <c r="D7" i="4"/>
  <c r="E7" i="4"/>
  <c r="F7" i="4"/>
  <c r="C7" i="4"/>
  <c r="D6" i="4"/>
  <c r="E6" i="4"/>
  <c r="F6" i="4"/>
  <c r="C6" i="4"/>
  <c r="D5" i="4"/>
  <c r="E5" i="4"/>
  <c r="F5" i="4"/>
  <c r="C5" i="4"/>
  <c r="D4" i="4"/>
  <c r="E4" i="4"/>
  <c r="F4" i="4"/>
  <c r="C4" i="4"/>
  <c r="C3" i="4"/>
  <c r="D3" i="4" l="1"/>
  <c r="E3" i="4"/>
  <c r="F3" i="4"/>
  <c r="F2" i="2" l="1"/>
  <c r="F3" i="2"/>
  <c r="F4" i="2"/>
  <c r="F5" i="2"/>
  <c r="F6" i="2"/>
  <c r="F7" i="2"/>
  <c r="F8" i="2"/>
  <c r="F9" i="2"/>
  <c r="J8" i="1" l="1"/>
  <c r="J7" i="1"/>
  <c r="J6" i="1"/>
  <c r="J5" i="1"/>
  <c r="J4" i="1"/>
  <c r="J3" i="1"/>
  <c r="J16" i="1" l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2" i="1"/>
  <c r="J1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2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<sst xmlns="http://schemas.openxmlformats.org/spreadsheetml/2006/main" count="2950" uniqueCount="1029">
  <si>
    <t>Código</t>
  </si>
  <si>
    <t>Procedencia</t>
  </si>
  <si>
    <t>Destino</t>
  </si>
  <si>
    <t>Fecha Ingreso</t>
  </si>
  <si>
    <t>Cantidad</t>
  </si>
  <si>
    <t>Costo unitario</t>
  </si>
  <si>
    <t>Costo total</t>
  </si>
  <si>
    <t>CD-0142</t>
  </si>
  <si>
    <t>DF-0084</t>
  </si>
  <si>
    <t>SB-0174</t>
  </si>
  <si>
    <t>AB-0280</t>
  </si>
  <si>
    <t>AB-0086</t>
  </si>
  <si>
    <t>CD-0062</t>
  </si>
  <si>
    <t>SB-0403</t>
  </si>
  <si>
    <t>CD-0016</t>
  </si>
  <si>
    <t>CD-0300</t>
  </si>
  <si>
    <t>CD-0354</t>
  </si>
  <si>
    <t>DF-0249</t>
  </si>
  <si>
    <t>SB-0333</t>
  </si>
  <si>
    <t>CD-0211</t>
  </si>
  <si>
    <t>SB-0310</t>
  </si>
  <si>
    <t>DF-0262</t>
  </si>
  <si>
    <t>DF-0274</t>
  </si>
  <si>
    <t>DF-0328</t>
  </si>
  <si>
    <t>DF-0352</t>
  </si>
  <si>
    <t>SB-0305</t>
  </si>
  <si>
    <t>DF-0340</t>
  </si>
  <si>
    <t>SB-0190</t>
  </si>
  <si>
    <t>DF-0115</t>
  </si>
  <si>
    <t>DF-0359</t>
  </si>
  <si>
    <t>CD-0290</t>
  </si>
  <si>
    <t>CD-0275</t>
  </si>
  <si>
    <t>CD-0360</t>
  </si>
  <si>
    <t>SB-0397</t>
  </si>
  <si>
    <t>CD-0411</t>
  </si>
  <si>
    <t>SB-0177</t>
  </si>
  <si>
    <t>DF-0313</t>
  </si>
  <si>
    <t>SB-0212</t>
  </si>
  <si>
    <t>CD-0440</t>
  </si>
  <si>
    <t>SB-0372</t>
  </si>
  <si>
    <t>DF-0233</t>
  </si>
  <si>
    <t>CD-0234</t>
  </si>
  <si>
    <t>SB-0445</t>
  </si>
  <si>
    <t>DF-0116</t>
  </si>
  <si>
    <t>DF-0308</t>
  </si>
  <si>
    <t>CD-0428</t>
  </si>
  <si>
    <t>DF-0117</t>
  </si>
  <si>
    <t>CD-0303</t>
  </si>
  <si>
    <t>SB-0362</t>
  </si>
  <si>
    <t>SB-0300</t>
  </si>
  <si>
    <t>SB-0317</t>
  </si>
  <si>
    <t>CD-0257</t>
  </si>
  <si>
    <t>CD-0331</t>
  </si>
  <si>
    <t>SB-0473</t>
  </si>
  <si>
    <t>DF-0154</t>
  </si>
  <si>
    <t>DF-0350</t>
  </si>
  <si>
    <t>CD-0340</t>
  </si>
  <si>
    <t>CD-0345</t>
  </si>
  <si>
    <t>SB-0303</t>
  </si>
  <si>
    <t>CD-0326</t>
  </si>
  <si>
    <t>SB-0256</t>
  </si>
  <si>
    <t>CD-0377</t>
  </si>
  <si>
    <t>SB-0288</t>
  </si>
  <si>
    <t>DF-0330</t>
  </si>
  <si>
    <t>DF-0314</t>
  </si>
  <si>
    <t>CD-0145</t>
  </si>
  <si>
    <t>DF-0235</t>
  </si>
  <si>
    <t>SB-0326</t>
  </si>
  <si>
    <t>SB-0287</t>
  </si>
  <si>
    <t>CD-0277</t>
  </si>
  <si>
    <t>DF-0375</t>
  </si>
  <si>
    <t>CD-0397</t>
  </si>
  <si>
    <t>DF-0312</t>
  </si>
  <si>
    <t>DF-0087</t>
  </si>
  <si>
    <t>SB-0407</t>
  </si>
  <si>
    <t>DF-0304</t>
  </si>
  <si>
    <t>SB-0359</t>
  </si>
  <si>
    <t>CD-0248</t>
  </si>
  <si>
    <t>DF-0387</t>
  </si>
  <si>
    <t>DF-0180</t>
  </si>
  <si>
    <t>DF-0200</t>
  </si>
  <si>
    <t>CD-0322</t>
  </si>
  <si>
    <t>CD-0299</t>
  </si>
  <si>
    <t>CD-0267</t>
  </si>
  <si>
    <t>DF-0205</t>
  </si>
  <si>
    <t>CD-0284</t>
  </si>
  <si>
    <t>CD-0382</t>
  </si>
  <si>
    <t>SB-0258</t>
  </si>
  <si>
    <t>CD-0412</t>
  </si>
  <si>
    <t>CD-0274</t>
  </si>
  <si>
    <t>SB-0336</t>
  </si>
  <si>
    <t>DF-0336</t>
  </si>
  <si>
    <t>SB-0269</t>
  </si>
  <si>
    <t>SB-0367</t>
  </si>
  <si>
    <t>CD-0241</t>
  </si>
  <si>
    <t>DF-0302</t>
  </si>
  <si>
    <t>CD-0304</t>
  </si>
  <si>
    <t>CD-0218</t>
  </si>
  <si>
    <t>SB-0246</t>
  </si>
  <si>
    <t>CD-0260</t>
  </si>
  <si>
    <t>SB-0349</t>
  </si>
  <si>
    <t>DF-0088</t>
  </si>
  <si>
    <t>CD-0393</t>
  </si>
  <si>
    <t>SB-0318</t>
  </si>
  <si>
    <t>DF-0173</t>
  </si>
  <si>
    <t>CD-0403</t>
  </si>
  <si>
    <t>SB-0423</t>
  </si>
  <si>
    <t>SB-0389</t>
  </si>
  <si>
    <t>SB-0347</t>
  </si>
  <si>
    <t>CD-0177</t>
  </si>
  <si>
    <t>CD-0224</t>
  </si>
  <si>
    <t>CD-0311</t>
  </si>
  <si>
    <t>CD-0420</t>
  </si>
  <si>
    <t>CD-0210</t>
  </si>
  <si>
    <t>CD-0214</t>
  </si>
  <si>
    <t>DF-0333</t>
  </si>
  <si>
    <t>CD-0390</t>
  </si>
  <si>
    <t>CD-0259</t>
  </si>
  <si>
    <t>SB-0441</t>
  </si>
  <si>
    <t>SB-0436</t>
  </si>
  <si>
    <t>CD-0193</t>
  </si>
  <si>
    <t>SB-0354</t>
  </si>
  <si>
    <t>DF-0196</t>
  </si>
  <si>
    <t>DF-0234</t>
  </si>
  <si>
    <t>DF-0162</t>
  </si>
  <si>
    <t>CD-0401</t>
  </si>
  <si>
    <t>SB-0435</t>
  </si>
  <si>
    <t>SB-0259</t>
  </si>
  <si>
    <t>CD-0192</t>
  </si>
  <si>
    <t>DF-0164</t>
  </si>
  <si>
    <t>SB-0446</t>
  </si>
  <si>
    <t>CD-0447</t>
  </si>
  <si>
    <t>CD-0423</t>
  </si>
  <si>
    <t>CD-0301</t>
  </si>
  <si>
    <t>CD-0443</t>
  </si>
  <si>
    <t>SB-0214</t>
  </si>
  <si>
    <t>CD-0242</t>
  </si>
  <si>
    <t>CD-0223</t>
  </si>
  <si>
    <t>CD-0287</t>
  </si>
  <si>
    <t>DF-0278</t>
  </si>
  <si>
    <t>CD-0380</t>
  </si>
  <si>
    <t>DF-0283</t>
  </si>
  <si>
    <t>SB-0251</t>
  </si>
  <si>
    <t>DF-0303</t>
  </si>
  <si>
    <t>CD-0254</t>
  </si>
  <si>
    <t>SB-0388</t>
  </si>
  <si>
    <t>DF-0215</t>
  </si>
  <si>
    <t>SB-0316</t>
  </si>
  <si>
    <t>SB-0254</t>
  </si>
  <si>
    <t>SB-0393</t>
  </si>
  <si>
    <t>SB-0280</t>
  </si>
  <si>
    <t>CD-0197</t>
  </si>
  <si>
    <t>CD-0196</t>
  </si>
  <si>
    <t>SB-0428</t>
  </si>
  <si>
    <t>CD-0264</t>
  </si>
  <si>
    <t>CD-0365</t>
  </si>
  <si>
    <t>DF-0137</t>
  </si>
  <si>
    <t>DF-0241</t>
  </si>
  <si>
    <t>CD-0373</t>
  </si>
  <si>
    <t>SB-0350</t>
  </si>
  <si>
    <t>DF-0211</t>
  </si>
  <si>
    <t>SB-0282</t>
  </si>
  <si>
    <t>SB-0373</t>
  </si>
  <si>
    <t>CD-0384</t>
  </si>
  <si>
    <t>SB-0298</t>
  </si>
  <si>
    <t>SB-0365</t>
  </si>
  <si>
    <t>CD-0405</t>
  </si>
  <si>
    <t>CD-0425</t>
  </si>
  <si>
    <t>SB-0263</t>
  </si>
  <si>
    <t>SB-0201</t>
  </si>
  <si>
    <t>CD-0370</t>
  </si>
  <si>
    <t>SB-0186</t>
  </si>
  <si>
    <t>DF-0360</t>
  </si>
  <si>
    <t>DF-0394</t>
  </si>
  <si>
    <t>SB-0431</t>
  </si>
  <si>
    <t>DF-0237</t>
  </si>
  <si>
    <t>CD-0456</t>
  </si>
  <si>
    <t>CD-0189</t>
  </si>
  <si>
    <t>DF-0188</t>
  </si>
  <si>
    <t>CD-0156</t>
  </si>
  <si>
    <t>DF-0398</t>
  </si>
  <si>
    <t>DF-0107</t>
  </si>
  <si>
    <t>SB-0301</t>
  </si>
  <si>
    <t>DF-0227</t>
  </si>
  <si>
    <t>SB-0415</t>
  </si>
  <si>
    <t>CD-0178</t>
  </si>
  <si>
    <t>SB-0221</t>
  </si>
  <si>
    <t>SB-0370</t>
  </si>
  <si>
    <t>CD-0308</t>
  </si>
  <si>
    <t>DF-0156</t>
  </si>
  <si>
    <t>SB-0448</t>
  </si>
  <si>
    <t>DF-0172</t>
  </si>
  <si>
    <t>DF-0320</t>
  </si>
  <si>
    <t>SB-0477</t>
  </si>
  <si>
    <t>CD-0179</t>
  </si>
  <si>
    <t>CD-0280</t>
  </si>
  <si>
    <t>DF-0155</t>
  </si>
  <si>
    <t>SB-0244</t>
  </si>
  <si>
    <t>SB-0264</t>
  </si>
  <si>
    <t>DF-0169</t>
  </si>
  <si>
    <t>DF-0133</t>
  </si>
  <si>
    <t>SB-0278</t>
  </si>
  <si>
    <t>SB-0344</t>
  </si>
  <si>
    <t>CD-0227</t>
  </si>
  <si>
    <t>SB-0274</t>
  </si>
  <si>
    <t>DF-0228</t>
  </si>
  <si>
    <t>DF-0194</t>
  </si>
  <si>
    <t>DF-0136</t>
  </si>
  <si>
    <t>SB-0408</t>
  </si>
  <si>
    <t>SB-0302</t>
  </si>
  <si>
    <t>DF-0093</t>
  </si>
  <si>
    <t>CD-0318</t>
  </si>
  <si>
    <t>CD-0352</t>
  </si>
  <si>
    <t>CD-0433</t>
  </si>
  <si>
    <t>CD-0395</t>
  </si>
  <si>
    <t>DF-0345</t>
  </si>
  <si>
    <t>DF-0384</t>
  </si>
  <si>
    <t>CD-0306</t>
  </si>
  <si>
    <t>DF-0280</t>
  </si>
  <si>
    <t>SB-0432</t>
  </si>
  <si>
    <t>SB-0351</t>
  </si>
  <si>
    <t>SB-0191</t>
  </si>
  <si>
    <t>DF-0125</t>
  </si>
  <si>
    <t>DF-0311</t>
  </si>
  <si>
    <t>CD-0269</t>
  </si>
  <si>
    <t>CD-0419</t>
  </si>
  <si>
    <t>DF-0317</t>
  </si>
  <si>
    <t>SB-0406</t>
  </si>
  <si>
    <t>SB-0203</t>
  </si>
  <si>
    <t>CD-0265</t>
  </si>
  <si>
    <t>DF-0089</t>
  </si>
  <si>
    <t>DF-0309</t>
  </si>
  <si>
    <t>DF-0231</t>
  </si>
  <si>
    <t>DF-0325</t>
  </si>
  <si>
    <t>SB-0387</t>
  </si>
  <si>
    <t>DF-0170</t>
  </si>
  <si>
    <t>DF-0294</t>
  </si>
  <si>
    <t>CD-0409</t>
  </si>
  <si>
    <t>SB-0208</t>
  </si>
  <si>
    <t>DF-0380</t>
  </si>
  <si>
    <t>SB-0273</t>
  </si>
  <si>
    <t>SB-0369</t>
  </si>
  <si>
    <t>DF-0271</t>
  </si>
  <si>
    <t>DF-0106</t>
  </si>
  <si>
    <t>DF-0305</t>
  </si>
  <si>
    <t>CD-0338</t>
  </si>
  <si>
    <t>SB-0360</t>
  </si>
  <si>
    <t>CD-0216</t>
  </si>
  <si>
    <t>SB-0293</t>
  </si>
  <si>
    <t>SB-0194</t>
  </si>
  <si>
    <t>CD-0228</t>
  </si>
  <si>
    <t>CD-0421</t>
  </si>
  <si>
    <t>CD-0453</t>
  </si>
  <si>
    <t>DF-0131</t>
  </si>
  <si>
    <t>CD-0231</t>
  </si>
  <si>
    <t>CD-0261</t>
  </si>
  <si>
    <t>CD-0149</t>
  </si>
  <si>
    <t>SB-0342</t>
  </si>
  <si>
    <t>CD-0256</t>
  </si>
  <si>
    <t>CD-0147</t>
  </si>
  <si>
    <t>DF-0273</t>
  </si>
  <si>
    <t>CD-0449</t>
  </si>
  <si>
    <t>SB-0442</t>
  </si>
  <si>
    <t>SB-0225</t>
  </si>
  <si>
    <t>SB-0405</t>
  </si>
  <si>
    <t>DF-0362</t>
  </si>
  <si>
    <t>SB-0484</t>
  </si>
  <si>
    <t>CD-0245</t>
  </si>
  <si>
    <t>CD-0418</t>
  </si>
  <si>
    <t>CD-0296</t>
  </si>
  <si>
    <t>CD-0333</t>
  </si>
  <si>
    <t>DF-0337</t>
  </si>
  <si>
    <t>CD-0317</t>
  </si>
  <si>
    <t>SB-0289</t>
  </si>
  <si>
    <t>CD-0396</t>
  </si>
  <si>
    <t>CD-0406</t>
  </si>
  <si>
    <t>CD-0371</t>
  </si>
  <si>
    <t>SB-0232</t>
  </si>
  <si>
    <t>SB-0416</t>
  </si>
  <si>
    <t>DF-0272</t>
  </si>
  <si>
    <t>SB-0466</t>
  </si>
  <si>
    <t>SB-0284</t>
  </si>
  <si>
    <t>SB-0261</t>
  </si>
  <si>
    <t>CD-0446</t>
  </si>
  <si>
    <t>SB-0330</t>
  </si>
  <si>
    <t>CD-0444</t>
  </si>
  <si>
    <t>SB-0328</t>
  </si>
  <si>
    <t>DF-0171</t>
  </si>
  <si>
    <t>DF-0095</t>
  </si>
  <si>
    <t>DF-0108</t>
  </si>
  <si>
    <t>CD-0236</t>
  </si>
  <si>
    <t>CD-0320</t>
  </si>
  <si>
    <t>SB-0364</t>
  </si>
  <si>
    <t>CD-0270</t>
  </si>
  <si>
    <t>DF-0385</t>
  </si>
  <si>
    <t>DF-0268</t>
  </si>
  <si>
    <t>SB-0469</t>
  </si>
  <si>
    <t>CD-0249</t>
  </si>
  <si>
    <t>SB-0357</t>
  </si>
  <si>
    <t>DF-0319</t>
  </si>
  <si>
    <t>SB-0239</t>
  </si>
  <si>
    <t>CD-0363</t>
  </si>
  <si>
    <t>DF-0140</t>
  </si>
  <si>
    <t>SB-0209</t>
  </si>
  <si>
    <t>CD-0441</t>
  </si>
  <si>
    <t>SB-0399</t>
  </si>
  <si>
    <t>CD-0191</t>
  </si>
  <si>
    <t>CD-0161</t>
  </si>
  <si>
    <t>CD-0288</t>
  </si>
  <si>
    <t>DF-0143</t>
  </si>
  <si>
    <t>DF-0092</t>
  </si>
  <si>
    <t>DF-0299</t>
  </si>
  <si>
    <t>SB-0181</t>
  </si>
  <si>
    <t>DF-0298</t>
  </si>
  <si>
    <t>SB-0398</t>
  </si>
  <si>
    <t>CD-0415</t>
  </si>
  <si>
    <t>DF-0256</t>
  </si>
  <si>
    <t>CD-0341</t>
  </si>
  <si>
    <t>CD-0187</t>
  </si>
  <si>
    <t>DF-0091</t>
  </si>
  <si>
    <t>DF-0114</t>
  </si>
  <si>
    <t>SB-0297</t>
  </si>
  <si>
    <t>SB-0401</t>
  </si>
  <si>
    <t>DF-0382</t>
  </si>
  <si>
    <t>CD-0323</t>
  </si>
  <si>
    <t>SB-0341</t>
  </si>
  <si>
    <t>SB-0417</t>
  </si>
  <si>
    <t>SB-0184</t>
  </si>
  <si>
    <t>SB-0483</t>
  </si>
  <si>
    <t>CD-0386</t>
  </si>
  <si>
    <t>DF-0373</t>
  </si>
  <si>
    <t>DF-0096</t>
  </si>
  <si>
    <t>SB-0309</t>
  </si>
  <si>
    <t>SB-0460</t>
  </si>
  <si>
    <t>SB-0378</t>
  </si>
  <si>
    <t>CD-0325</t>
  </si>
  <si>
    <t>SB-0228</t>
  </si>
  <si>
    <t>CD-0172</t>
  </si>
  <si>
    <t>CD-0219</t>
  </si>
  <si>
    <t>CD-0173</t>
  </si>
  <si>
    <t>CD-0174</t>
  </si>
  <si>
    <t>SB-0381</t>
  </si>
  <si>
    <t>CD-0152</t>
  </si>
  <si>
    <t>CD-0160</t>
  </si>
  <si>
    <t>SB-0488</t>
  </si>
  <si>
    <t>DF-0389</t>
  </si>
  <si>
    <t>DF-0288</t>
  </si>
  <si>
    <t>DF-0276</t>
  </si>
  <si>
    <t>DF-0388</t>
  </si>
  <si>
    <t>DF-0329</t>
  </si>
  <si>
    <t>CD-0312</t>
  </si>
  <si>
    <t>DF-0151</t>
  </si>
  <si>
    <t>SB-0486</t>
  </si>
  <si>
    <t>DF-0240</t>
  </si>
  <si>
    <t>SB-0327</t>
  </si>
  <si>
    <t>DF-0270</t>
  </si>
  <si>
    <t>CD-0239</t>
  </si>
  <si>
    <t>SB-0433</t>
  </si>
  <si>
    <t>SB-0227</t>
  </si>
  <si>
    <t>DF-0186</t>
  </si>
  <si>
    <t>DF-0086</t>
  </si>
  <si>
    <t>SB-0464</t>
  </si>
  <si>
    <t>CD-0201</t>
  </si>
  <si>
    <t>SB-0270</t>
  </si>
  <si>
    <t>DF-0346</t>
  </si>
  <si>
    <t>SB-0267</t>
  </si>
  <si>
    <t>DF-0159</t>
  </si>
  <si>
    <t>DF-0229</t>
  </si>
  <si>
    <t>DF-0277</t>
  </si>
  <si>
    <t>DF-0293</t>
  </si>
  <si>
    <t>SB-0394</t>
  </si>
  <si>
    <t>CD-0206</t>
  </si>
  <si>
    <t>SB-0247</t>
  </si>
  <si>
    <t>DF-0397</t>
  </si>
  <si>
    <t>SB-0454</t>
  </si>
  <si>
    <t>DF-0383</t>
  </si>
  <si>
    <t>DF-0245</t>
  </si>
  <si>
    <t>CD-0199</t>
  </si>
  <si>
    <t>SB-0470</t>
  </si>
  <si>
    <t>CD-0215</t>
  </si>
  <si>
    <t>CD-0176</t>
  </si>
  <si>
    <t>SB-0314</t>
  </si>
  <si>
    <t>DF-0201</t>
  </si>
  <si>
    <t>DF-0207</t>
  </si>
  <si>
    <t>SB-0188</t>
  </si>
  <si>
    <t>CD-0457</t>
  </si>
  <si>
    <t>CD-0391</t>
  </si>
  <si>
    <t>CD-0424</t>
  </si>
  <si>
    <t>SB-0392</t>
  </si>
  <si>
    <t>SB-0474</t>
  </si>
  <si>
    <t>CD-0220</t>
  </si>
  <si>
    <t>DF-0260</t>
  </si>
  <si>
    <t>DF-0396</t>
  </si>
  <si>
    <t>Argentina</t>
  </si>
  <si>
    <t>Estados Unidos</t>
  </si>
  <si>
    <t>Alemania</t>
  </si>
  <si>
    <t>Reino Unido</t>
  </si>
  <si>
    <t>China</t>
  </si>
  <si>
    <t>Canadá</t>
  </si>
  <si>
    <t>México</t>
  </si>
  <si>
    <t>España</t>
  </si>
  <si>
    <t>Lima</t>
  </si>
  <si>
    <t>Preguntas</t>
  </si>
  <si>
    <t>¿Cuál es la suma de la cantidad de los productos cuyo código tiene como segundo carácter la B e ingresaron en Febrero?</t>
  </si>
  <si>
    <t>¿Cuál es el promedio del costo unitario de los productos que no proceden de China ni España?</t>
  </si>
  <si>
    <t>¿Cuál es la suma de la cantidad de los productos provenientes de Alemania, Estados Unidos o China con destino a Lima?</t>
  </si>
  <si>
    <t>Medellín</t>
  </si>
  <si>
    <t>Bogotá</t>
  </si>
  <si>
    <t>Cali</t>
  </si>
  <si>
    <t>Manizalez</t>
  </si>
  <si>
    <t>Armenia</t>
  </si>
  <si>
    <t>Cartagena</t>
  </si>
  <si>
    <t>Barranquilla</t>
  </si>
  <si>
    <t>Santa Marta</t>
  </si>
  <si>
    <t>¿Cuál es la suma de la cantidad de los productos que vienen de Alemania y que van a Medellín?</t>
  </si>
  <si>
    <t>¿Cuál es la suma del costo total de los productos que tienen como destino Manizalez y cuya cantidad está entre 5,000 y 6,000?</t>
  </si>
  <si>
    <t>¿Cuál es el promedio del precio de los productos procedentes de China con destino a Lima o Medellín?</t>
  </si>
  <si>
    <t>¿Cuál es el promedio del costo total de los productos que en este dato superan el S/ 1,000,000 y que tengan como destino Medellín?</t>
  </si>
  <si>
    <t>¿Cuál es la suma de la cantidad de los productos que vienen de Argentina y que van a Armenia ?</t>
  </si>
  <si>
    <t>¿Cuál es la suma del costo total de los productos que tienen como destino canadá?</t>
  </si>
  <si>
    <t>Productos</t>
  </si>
  <si>
    <t>Ventas</t>
  </si>
  <si>
    <t>Producto 1</t>
  </si>
  <si>
    <t>Producto 2</t>
  </si>
  <si>
    <t>Acción</t>
  </si>
  <si>
    <t>Atajo</t>
  </si>
  <si>
    <t>Producto 3</t>
  </si>
  <si>
    <t>Insertar un gráfico en esta hoja</t>
  </si>
  <si>
    <t>Alt+F1</t>
  </si>
  <si>
    <t>Producto 4</t>
  </si>
  <si>
    <t>Insertar un gráfico en otra hoja</t>
  </si>
  <si>
    <t>F11</t>
  </si>
  <si>
    <t>Producto 5</t>
  </si>
  <si>
    <t>Producto 6</t>
  </si>
  <si>
    <t>Producto 7</t>
  </si>
  <si>
    <t>Producto</t>
  </si>
  <si>
    <t>Enero</t>
  </si>
  <si>
    <t>Febrero</t>
  </si>
  <si>
    <t>Marzo</t>
  </si>
  <si>
    <t>Abril</t>
  </si>
  <si>
    <t>Mayo</t>
  </si>
  <si>
    <t>Genera serie de fórmulas hacia la derecha</t>
  </si>
  <si>
    <t>Ctrl+D</t>
  </si>
  <si>
    <t>Genera serie de fórmulas hacia abajo</t>
  </si>
  <si>
    <t>Ctrl+J</t>
  </si>
  <si>
    <t>Abre la ventana de formato de celdas</t>
  </si>
  <si>
    <t>Ctrl+1</t>
  </si>
  <si>
    <t>Aplica efecto de tachado</t>
  </si>
  <si>
    <t>Ctrl+5</t>
  </si>
  <si>
    <t>Oculta filas seleccionadas</t>
  </si>
  <si>
    <t>Ctrl+9</t>
  </si>
  <si>
    <t>Oculta columnas seleccionadas</t>
  </si>
  <si>
    <t>Ctrl+0</t>
  </si>
  <si>
    <t>Agrega o edita un comentario en una celda</t>
  </si>
  <si>
    <t>Mayus+F2</t>
  </si>
  <si>
    <t>Permite seleccionar varios rangos de celda</t>
  </si>
  <si>
    <t>Mayus+F8</t>
  </si>
  <si>
    <t>Inserta una nueva hoja</t>
  </si>
  <si>
    <t>Mayus+F11</t>
  </si>
  <si>
    <t>Para Practica</t>
  </si>
  <si>
    <t>¿Cuántos productos procedentes de México tendrán como destino Manizalez?</t>
  </si>
  <si>
    <t>¿Cuántos productos cuyo código empieza con C proceden de Argentina y tienen como destino Armenia?</t>
  </si>
  <si>
    <t>¿Cuántos productos procedentes de Alemania tienen un costo unitario entre S/ 100 y S/ 250?</t>
  </si>
  <si>
    <t>Manizales</t>
  </si>
  <si>
    <t>CD-0143</t>
  </si>
  <si>
    <t>DF-0085</t>
  </si>
  <si>
    <t>SB-0175</t>
  </si>
  <si>
    <t>CD-0144</t>
  </si>
  <si>
    <t>SB-0176</t>
  </si>
  <si>
    <t>CD-0146</t>
  </si>
  <si>
    <t>SB-0178</t>
  </si>
  <si>
    <t>SB-0179</t>
  </si>
  <si>
    <t>CD-0148</t>
  </si>
  <si>
    <t>DF-0090</t>
  </si>
  <si>
    <t>SB-0180</t>
  </si>
  <si>
    <t>CD-0150</t>
  </si>
  <si>
    <t>SB-0182</t>
  </si>
  <si>
    <t>CD-0151</t>
  </si>
  <si>
    <t>SB-0183</t>
  </si>
  <si>
    <t>DF-0094</t>
  </si>
  <si>
    <t>CD-0153</t>
  </si>
  <si>
    <t>SB-0185</t>
  </si>
  <si>
    <t>CD-0154</t>
  </si>
  <si>
    <t>CD-0155</t>
  </si>
  <si>
    <t>DF-0097</t>
  </si>
  <si>
    <t>SB-0187</t>
  </si>
  <si>
    <t>DF-0098</t>
  </si>
  <si>
    <t>CD-0157</t>
  </si>
  <si>
    <t>DF-0099</t>
  </si>
  <si>
    <t>SB-0189</t>
  </si>
  <si>
    <t>CD-0158</t>
  </si>
  <si>
    <t>DF-0100</t>
  </si>
  <si>
    <t>CD-0159</t>
  </si>
  <si>
    <t>DF-0101</t>
  </si>
  <si>
    <t>DF-0102</t>
  </si>
  <si>
    <t>SB-0192</t>
  </si>
  <si>
    <t>DF-0103</t>
  </si>
  <si>
    <t>SB-0193</t>
  </si>
  <si>
    <t>CD-0162</t>
  </si>
  <si>
    <t>DF-0104</t>
  </si>
  <si>
    <t>CD-0163</t>
  </si>
  <si>
    <t>DF-0105</t>
  </si>
  <si>
    <t>SB-0195</t>
  </si>
  <si>
    <t>CD-0164</t>
  </si>
  <si>
    <t>SB-0196</t>
  </si>
  <si>
    <t>CD-0165</t>
  </si>
  <si>
    <t>SB-0197</t>
  </si>
  <si>
    <t>CD-0166</t>
  </si>
  <si>
    <t>SB-0198</t>
  </si>
  <si>
    <t>CD-0167</t>
  </si>
  <si>
    <t>DF-0109</t>
  </si>
  <si>
    <t>SB-0199</t>
  </si>
  <si>
    <t>CD-0168</t>
  </si>
  <si>
    <t>DF-0110</t>
  </si>
  <si>
    <t>SB-0200</t>
  </si>
  <si>
    <t>CD-0169</t>
  </si>
  <si>
    <t>DF-0111</t>
  </si>
  <si>
    <t>CD-0170</t>
  </si>
  <si>
    <t>DF-0112</t>
  </si>
  <si>
    <t>SB-0202</t>
  </si>
  <si>
    <t>CD-0171</t>
  </si>
  <si>
    <t>DF-0113</t>
  </si>
  <si>
    <t>SB-0204</t>
  </si>
  <si>
    <t>SB-0205</t>
  </si>
  <si>
    <t>SB-0206</t>
  </si>
  <si>
    <t>CD-0175</t>
  </si>
  <si>
    <t>SB-0207</t>
  </si>
  <si>
    <t>DF-0118</t>
  </si>
  <si>
    <t>DF-0119</t>
  </si>
  <si>
    <t>DF-0120</t>
  </si>
  <si>
    <t>SB-0210</t>
  </si>
  <si>
    <t>DF-0121</t>
  </si>
  <si>
    <t>SB-0211</t>
  </si>
  <si>
    <t>CD-0180</t>
  </si>
  <si>
    <t>DF-0122</t>
  </si>
  <si>
    <t>CD-0181</t>
  </si>
  <si>
    <t>DF-0123</t>
  </si>
  <si>
    <t>SB-0213</t>
  </si>
  <si>
    <t>CD-0182</t>
  </si>
  <si>
    <t>DF-0124</t>
  </si>
  <si>
    <t>CD-0183</t>
  </si>
  <si>
    <t>SB-0215</t>
  </si>
  <si>
    <t>CD-0184</t>
  </si>
  <si>
    <t>DF-0126</t>
  </si>
  <si>
    <t>SB-0216</t>
  </si>
  <si>
    <t>CD-0185</t>
  </si>
  <si>
    <t>DF-0127</t>
  </si>
  <si>
    <t>SB-0217</t>
  </si>
  <si>
    <t>CD-0186</t>
  </si>
  <si>
    <t>DF-0128</t>
  </si>
  <si>
    <t>SB-0218</t>
  </si>
  <si>
    <t>DF-0129</t>
  </si>
  <si>
    <t>SB-0219</t>
  </si>
  <si>
    <t>CD-0188</t>
  </si>
  <si>
    <t>DF-0130</t>
  </si>
  <si>
    <t>SB-0220</t>
  </si>
  <si>
    <t>CD-0190</t>
  </si>
  <si>
    <t>DF-0132</t>
  </si>
  <si>
    <t>SB-0222</t>
  </si>
  <si>
    <t>SB-0223</t>
  </si>
  <si>
    <t>DF-0134</t>
  </si>
  <si>
    <t>SB-0224</t>
  </si>
  <si>
    <t>DF-0135</t>
  </si>
  <si>
    <t>CD-0194</t>
  </si>
  <si>
    <t>SB-0226</t>
  </si>
  <si>
    <t>CD-0195</t>
  </si>
  <si>
    <t>DF-0138</t>
  </si>
  <si>
    <t>DF-0139</t>
  </si>
  <si>
    <t>SB-0229</t>
  </si>
  <si>
    <t>CD-0198</t>
  </si>
  <si>
    <t>SB-0230</t>
  </si>
  <si>
    <t>DF-0141</t>
  </si>
  <si>
    <t>SB-0231</t>
  </si>
  <si>
    <t>CD-0200</t>
  </si>
  <si>
    <t>DF-0142</t>
  </si>
  <si>
    <t>SB-0233</t>
  </si>
  <si>
    <t>CD-0202</t>
  </si>
  <si>
    <t>DF-0144</t>
  </si>
  <si>
    <t>SB-0234</t>
  </si>
  <si>
    <t>CD-0203</t>
  </si>
  <si>
    <t>DF-0145</t>
  </si>
  <si>
    <t>SB-0235</t>
  </si>
  <si>
    <t>CD-0204</t>
  </si>
  <si>
    <t>DF-0146</t>
  </si>
  <si>
    <t>SB-0236</t>
  </si>
  <si>
    <t>CD-0205</t>
  </si>
  <si>
    <t>DF-0147</t>
  </si>
  <si>
    <t>SB-0237</t>
  </si>
  <si>
    <t>DF-0148</t>
  </si>
  <si>
    <t>SB-0238</t>
  </si>
  <si>
    <t>CD-0207</t>
  </si>
  <si>
    <t>DF-0149</t>
  </si>
  <si>
    <t>CD-0208</t>
  </si>
  <si>
    <t>DF-0150</t>
  </si>
  <si>
    <t>SB-0240</t>
  </si>
  <si>
    <t>CD-0209</t>
  </si>
  <si>
    <t>SB-0241</t>
  </si>
  <si>
    <t>DF-0152</t>
  </si>
  <si>
    <t>SB-0242</t>
  </si>
  <si>
    <t>DF-0153</t>
  </si>
  <si>
    <t>SB-0243</t>
  </si>
  <si>
    <t>CD-0212</t>
  </si>
  <si>
    <t>CD-0213</t>
  </si>
  <si>
    <t>SB-0245</t>
  </si>
  <si>
    <t>DF-0157</t>
  </si>
  <si>
    <t>DF-0158</t>
  </si>
  <si>
    <t>SB-0248</t>
  </si>
  <si>
    <t>CD-0217</t>
  </si>
  <si>
    <t>SB-0249</t>
  </si>
  <si>
    <t>DF-0160</t>
  </si>
  <si>
    <t>SB-0250</t>
  </si>
  <si>
    <t>DF-0161</t>
  </si>
  <si>
    <t>SB-0252</t>
  </si>
  <si>
    <t>CD-0221</t>
  </si>
  <si>
    <t>DF-0163</t>
  </si>
  <si>
    <t>SB-0253</t>
  </si>
  <si>
    <t>CD-0222</t>
  </si>
  <si>
    <t>DF-0165</t>
  </si>
  <si>
    <t>SB-0255</t>
  </si>
  <si>
    <t>DF-0166</t>
  </si>
  <si>
    <t>CD-0225</t>
  </si>
  <si>
    <t>DF-0167</t>
  </si>
  <si>
    <t>SB-0257</t>
  </si>
  <si>
    <t>CD-0226</t>
  </si>
  <si>
    <t>DF-0168</t>
  </si>
  <si>
    <t>SB-0260</t>
  </si>
  <si>
    <t>CD-0229</t>
  </si>
  <si>
    <t>CD-0230</t>
  </si>
  <si>
    <t>SB-0262</t>
  </si>
  <si>
    <t>CD-0232</t>
  </si>
  <si>
    <t>DF-0174</t>
  </si>
  <si>
    <t>CD-0233</t>
  </si>
  <si>
    <t>DF-0175</t>
  </si>
  <si>
    <t>SB-0265</t>
  </si>
  <si>
    <t>DF-0176</t>
  </si>
  <si>
    <t>SB-0266</t>
  </si>
  <si>
    <t>CD-0235</t>
  </si>
  <si>
    <t>DF-0177</t>
  </si>
  <si>
    <t>DF-0178</t>
  </si>
  <si>
    <t>SB-0268</t>
  </si>
  <si>
    <t>CD-0237</t>
  </si>
  <si>
    <t>DF-0179</t>
  </si>
  <si>
    <t>CD-0238</t>
  </si>
  <si>
    <t>DF-0181</t>
  </si>
  <si>
    <t>SB-0271</t>
  </si>
  <si>
    <t>CD-0240</t>
  </si>
  <si>
    <t>DF-0182</t>
  </si>
  <si>
    <t>SB-0272</t>
  </si>
  <si>
    <t>DF-0183</t>
  </si>
  <si>
    <t>DF-0184</t>
  </si>
  <si>
    <t>CD-0243</t>
  </si>
  <si>
    <t>DF-0185</t>
  </si>
  <si>
    <t>SB-0275</t>
  </si>
  <si>
    <t>CD-0244</t>
  </si>
  <si>
    <t>SB-0276</t>
  </si>
  <si>
    <t>DF-0187</t>
  </si>
  <si>
    <t>SB-0277</t>
  </si>
  <si>
    <t>CD-0246</t>
  </si>
  <si>
    <t>CD-0247</t>
  </si>
  <si>
    <t>DF-0189</t>
  </si>
  <si>
    <t>SB-0279</t>
  </si>
  <si>
    <t>DF-0190</t>
  </si>
  <si>
    <t>DF-0191</t>
  </si>
  <si>
    <t>SB-0281</t>
  </si>
  <si>
    <t>CD-0250</t>
  </si>
  <si>
    <t>DF-0192</t>
  </si>
  <si>
    <t>CD-0251</t>
  </si>
  <si>
    <t>DF-0193</t>
  </si>
  <si>
    <t>SB-0283</t>
  </si>
  <si>
    <t>CD-0252</t>
  </si>
  <si>
    <t>CD-0253</t>
  </si>
  <si>
    <t>DF-0195</t>
  </si>
  <si>
    <t>SB-0285</t>
  </si>
  <si>
    <t>SB-0286</t>
  </si>
  <si>
    <t>CD-0255</t>
  </si>
  <si>
    <t>DF-0197</t>
  </si>
  <si>
    <t>DF-0198</t>
  </si>
  <si>
    <t>DF-0199</t>
  </si>
  <si>
    <t>CD-0258</t>
  </si>
  <si>
    <t>SB-0290</t>
  </si>
  <si>
    <t>SB-0291</t>
  </si>
  <si>
    <t>DF-0202</t>
  </si>
  <si>
    <t>SB-0292</t>
  </si>
  <si>
    <t>DF-0203</t>
  </si>
  <si>
    <t>CD-0262</t>
  </si>
  <si>
    <t>DF-0204</t>
  </si>
  <si>
    <t>SB-0294</t>
  </si>
  <si>
    <t>CD-0263</t>
  </si>
  <si>
    <t>SB-0295</t>
  </si>
  <si>
    <t>DF-0206</t>
  </si>
  <si>
    <t>SB-0296</t>
  </si>
  <si>
    <t>CD-0266</t>
  </si>
  <si>
    <t>DF-0208</t>
  </si>
  <si>
    <t>DF-0209</t>
  </si>
  <si>
    <t>SB-0299</t>
  </si>
  <si>
    <t>CD-0268</t>
  </si>
  <si>
    <t>DF-0210</t>
  </si>
  <si>
    <t>DF-0212</t>
  </si>
  <si>
    <t>CD-0271</t>
  </si>
  <si>
    <t>DF-0213</t>
  </si>
  <si>
    <t>CD-0272</t>
  </si>
  <si>
    <t>DF-0214</t>
  </si>
  <si>
    <t>SB-0304</t>
  </si>
  <si>
    <t>CD-0273</t>
  </si>
  <si>
    <t>DF-0216</t>
  </si>
  <si>
    <t>SB-0306</t>
  </si>
  <si>
    <t>DF-0217</t>
  </si>
  <si>
    <t>SB-0307</t>
  </si>
  <si>
    <t>CD-0276</t>
  </si>
  <si>
    <t>DF-0218</t>
  </si>
  <si>
    <t>SB-0308</t>
  </si>
  <si>
    <t>DF-0219</t>
  </si>
  <si>
    <t>CD-0278</t>
  </si>
  <si>
    <t>DF-0220</t>
  </si>
  <si>
    <t>CD-0279</t>
  </si>
  <si>
    <t>DF-0221</t>
  </si>
  <si>
    <t>SB-0311</t>
  </si>
  <si>
    <t>DF-0222</t>
  </si>
  <si>
    <t>SB-0312</t>
  </si>
  <si>
    <t>CD-0281</t>
  </si>
  <si>
    <t>DF-0223</t>
  </si>
  <si>
    <t>SB-0313</t>
  </si>
  <si>
    <t>CD-0282</t>
  </si>
  <si>
    <t>DF-0224</t>
  </si>
  <si>
    <t>CD-0283</t>
  </si>
  <si>
    <t>DF-0225</t>
  </si>
  <si>
    <t>SB-0315</t>
  </si>
  <si>
    <t>DF-0226</t>
  </si>
  <si>
    <t>CD-0285</t>
  </si>
  <si>
    <t>CD-0286</t>
  </si>
  <si>
    <t>SB-0319</t>
  </si>
  <si>
    <t>DF-0230</t>
  </si>
  <si>
    <t>SB-0320</t>
  </si>
  <si>
    <t>CD-0289</t>
  </si>
  <si>
    <t>SB-0321</t>
  </si>
  <si>
    <t>DF-0232</t>
  </si>
  <si>
    <t>SB-0322</t>
  </si>
  <si>
    <t>CD-0291</t>
  </si>
  <si>
    <t>SB-0323</t>
  </si>
  <si>
    <t>CD-0292</t>
  </si>
  <si>
    <t>SB-0324</t>
  </si>
  <si>
    <t>CD-0293</t>
  </si>
  <si>
    <t>SB-0325</t>
  </si>
  <si>
    <t>CD-0294</t>
  </si>
  <si>
    <t>DF-0236</t>
  </si>
  <si>
    <t>CD-0295</t>
  </si>
  <si>
    <t>DF-0238</t>
  </si>
  <si>
    <t>CD-0297</t>
  </si>
  <si>
    <t>DF-0239</t>
  </si>
  <si>
    <t>SB-0329</t>
  </si>
  <si>
    <t>CD-0298</t>
  </si>
  <si>
    <t>SB-0331</t>
  </si>
  <si>
    <t>DF-0242</t>
  </si>
  <si>
    <t>SB-0332</t>
  </si>
  <si>
    <t>DF-0243</t>
  </si>
  <si>
    <t>CD-0302</t>
  </si>
  <si>
    <t>DF-0244</t>
  </si>
  <si>
    <t>SB-0334</t>
  </si>
  <si>
    <t>SB-0335</t>
  </si>
  <si>
    <t>DF-0246</t>
  </si>
  <si>
    <t>CD-0305</t>
  </si>
  <si>
    <t>DF-0247</t>
  </si>
  <si>
    <t>SB-0337</t>
  </si>
  <si>
    <t>DF-0248</t>
  </si>
  <si>
    <t>SB-0338</t>
  </si>
  <si>
    <t>CD-0307</t>
  </si>
  <si>
    <t>SB-0339</t>
  </si>
  <si>
    <t>DF-0250</t>
  </si>
  <si>
    <t>SB-0340</t>
  </si>
  <si>
    <t>CD-0309</t>
  </si>
  <si>
    <t>DF-0251</t>
  </si>
  <si>
    <t>CD-0310</t>
  </si>
  <si>
    <t>DF-0252</t>
  </si>
  <si>
    <t>DF-0253</t>
  </si>
  <si>
    <t>SB-0343</t>
  </si>
  <si>
    <t>DF-0254</t>
  </si>
  <si>
    <t>CD-0313</t>
  </si>
  <si>
    <t>DF-0255</t>
  </si>
  <si>
    <t>SB-0345</t>
  </si>
  <si>
    <t>CD-0314</t>
  </si>
  <si>
    <t>SB-0346</t>
  </si>
  <si>
    <t>CD-0315</t>
  </si>
  <si>
    <t>DF-0257</t>
  </si>
  <si>
    <t>CD-0316</t>
  </si>
  <si>
    <t>DF-0258</t>
  </si>
  <si>
    <t>SB-0348</t>
  </si>
  <si>
    <t>DF-0259</t>
  </si>
  <si>
    <t>CD-0319</t>
  </si>
  <si>
    <t>DF-0261</t>
  </si>
  <si>
    <t>SB-0352</t>
  </si>
  <si>
    <t>CD-0321</t>
  </si>
  <si>
    <t>DF-0263</t>
  </si>
  <si>
    <t>SB-0353</t>
  </si>
  <si>
    <t>DF-0264</t>
  </si>
  <si>
    <t>DF-0265</t>
  </si>
  <si>
    <t>SB-0355</t>
  </si>
  <si>
    <t>CD-0324</t>
  </si>
  <si>
    <t>DF-0266</t>
  </si>
  <si>
    <t>SB-0356</t>
  </si>
  <si>
    <t>DF-0267</t>
  </si>
  <si>
    <t>SB-0358</t>
  </si>
  <si>
    <t>CD-0327</t>
  </si>
  <si>
    <t>DF-0269</t>
  </si>
  <si>
    <t>CD-0328</t>
  </si>
  <si>
    <t>CD-0329</t>
  </si>
  <si>
    <t>SB-0361</t>
  </si>
  <si>
    <t>CD-0330</t>
  </si>
  <si>
    <t>SB-0363</t>
  </si>
  <si>
    <t>CD-0332</t>
  </si>
  <si>
    <t>DF-0275</t>
  </si>
  <si>
    <t>CD-0334</t>
  </si>
  <si>
    <t>SB-0366</t>
  </si>
  <si>
    <t>CD-0335</t>
  </si>
  <si>
    <t>CD-0336</t>
  </si>
  <si>
    <t>SB-0368</t>
  </si>
  <si>
    <t>CD-0337</t>
  </si>
  <si>
    <t>DF-0279</t>
  </si>
  <si>
    <t>CD-0339</t>
  </si>
  <si>
    <t>DF-0281</t>
  </si>
  <si>
    <t>SB-0371</t>
  </si>
  <si>
    <t>DF-0282</t>
  </si>
  <si>
    <t>CD-0342</t>
  </si>
  <si>
    <t>DF-0284</t>
  </si>
  <si>
    <t>SB-0374</t>
  </si>
  <si>
    <t>CD-0343</t>
  </si>
  <si>
    <t>DF-0285</t>
  </si>
  <si>
    <t>SB-0375</t>
  </si>
  <si>
    <t>CD-0344</t>
  </si>
  <si>
    <t>DF-0286</t>
  </si>
  <si>
    <t>SB-0376</t>
  </si>
  <si>
    <t>DF-0287</t>
  </si>
  <si>
    <t>SB-0377</t>
  </si>
  <si>
    <t>CD-0346</t>
  </si>
  <si>
    <t>CD-0347</t>
  </si>
  <si>
    <t>DF-0289</t>
  </si>
  <si>
    <t>SB-0379</t>
  </si>
  <si>
    <t>CD-0348</t>
  </si>
  <si>
    <t>DF-0290</t>
  </si>
  <si>
    <t>SB-0380</t>
  </si>
  <si>
    <t>CD-0349</t>
  </si>
  <si>
    <t>DF-0291</t>
  </si>
  <si>
    <t>CD-0350</t>
  </si>
  <si>
    <t>DF-0292</t>
  </si>
  <si>
    <t>SB-0382</t>
  </si>
  <si>
    <t>CD-0351</t>
  </si>
  <si>
    <t>SB-0383</t>
  </si>
  <si>
    <t>SB-0384</t>
  </si>
  <si>
    <t>CD-0353</t>
  </si>
  <si>
    <t>DF-0295</t>
  </si>
  <si>
    <t>SB-0385</t>
  </si>
  <si>
    <t>DF-0296</t>
  </si>
  <si>
    <t>SB-0386</t>
  </si>
  <si>
    <t>CD-0355</t>
  </si>
  <si>
    <t>DF-0297</t>
  </si>
  <si>
    <t>CD-0356</t>
  </si>
  <si>
    <t>CD-0357</t>
  </si>
  <si>
    <t>CD-0358</t>
  </si>
  <si>
    <t>DF-0300</t>
  </si>
  <si>
    <t>SB-0390</t>
  </si>
  <si>
    <t>CD-0359</t>
  </si>
  <si>
    <t>DF-0301</t>
  </si>
  <si>
    <t>SB-0391</t>
  </si>
  <si>
    <t>CD-0361</t>
  </si>
  <si>
    <t>CD-0362</t>
  </si>
  <si>
    <t>SB-0395</t>
  </si>
  <si>
    <t>CD-0364</t>
  </si>
  <si>
    <t>DF-0306</t>
  </si>
  <si>
    <t>SB-0396</t>
  </si>
  <si>
    <t>DF-0307</t>
  </si>
  <si>
    <t>CD-0366</t>
  </si>
  <si>
    <t>CD-0367</t>
  </si>
  <si>
    <t>CD-0368</t>
  </si>
  <si>
    <t>DF-0310</t>
  </si>
  <si>
    <t>SB-0400</t>
  </si>
  <si>
    <t>CD-0369</t>
  </si>
  <si>
    <t>SB-0402</t>
  </si>
  <si>
    <t>CD-0372</t>
  </si>
  <si>
    <t>SB-0404</t>
  </si>
  <si>
    <t>DF-0315</t>
  </si>
  <si>
    <t>CD-0374</t>
  </si>
  <si>
    <t>DF-0316</t>
  </si>
  <si>
    <t>CD-0375</t>
  </si>
  <si>
    <t>CD-0376</t>
  </si>
  <si>
    <t>DF-0318</t>
  </si>
  <si>
    <t>SB-0409</t>
  </si>
  <si>
    <t>CD-0378</t>
  </si>
  <si>
    <t>SB-0410</t>
  </si>
  <si>
    <t>CD-0379</t>
  </si>
  <si>
    <t>DF-0321</t>
  </si>
  <si>
    <t>SB-0411</t>
  </si>
  <si>
    <t>DF-0322</t>
  </si>
  <si>
    <t>SB-0412</t>
  </si>
  <si>
    <t>CD-0381</t>
  </si>
  <si>
    <t>DF-0323</t>
  </si>
  <si>
    <t>SB-0413</t>
  </si>
  <si>
    <t>DF-0324</t>
  </si>
  <si>
    <t>SB-0414</t>
  </si>
  <si>
    <t>CD-0383</t>
  </si>
  <si>
    <t>DF-0326</t>
  </si>
  <si>
    <t>CD-0385</t>
  </si>
  <si>
    <t>DF-0327</t>
  </si>
  <si>
    <t>SB-0418</t>
  </si>
  <si>
    <t>CD-0387</t>
  </si>
  <si>
    <t>SB-0419</t>
  </si>
  <si>
    <t>CD-0388</t>
  </si>
  <si>
    <t>SB-0420</t>
  </si>
  <si>
    <t>CD-0389</t>
  </si>
  <si>
    <t>DF-0331</t>
  </si>
  <si>
    <t>SB-0421</t>
  </si>
  <si>
    <t>DF-0332</t>
  </si>
  <si>
    <t>SB-0422</t>
  </si>
  <si>
    <t>CD-0392</t>
  </si>
  <si>
    <t>DF-0334</t>
  </si>
  <si>
    <t>SB-0424</t>
  </si>
  <si>
    <t>DF-0335</t>
  </si>
  <si>
    <t>SB-0425</t>
  </si>
  <si>
    <t>CD-0394</t>
  </si>
  <si>
    <t>SB-0426</t>
  </si>
  <si>
    <t>SB-0427</t>
  </si>
  <si>
    <t>DF-0338</t>
  </si>
  <si>
    <t>DF-0339</t>
  </si>
  <si>
    <t>SB-0429</t>
  </si>
  <si>
    <t>CD-0398</t>
  </si>
  <si>
    <t>SB-0430</t>
  </si>
  <si>
    <t>CD-0399</t>
  </si>
  <si>
    <t>DF-0341</t>
  </si>
  <si>
    <t>CD-0400</t>
  </si>
  <si>
    <t>DF-0342</t>
  </si>
  <si>
    <t>DF-0343</t>
  </si>
  <si>
    <t>CD-0402</t>
  </si>
  <si>
    <t>DF-0344</t>
  </si>
  <si>
    <t>SB-0434</t>
  </si>
  <si>
    <t>CD-0404</t>
  </si>
  <si>
    <t>DF-0347</t>
  </si>
  <si>
    <t>SB-0437</t>
  </si>
  <si>
    <t>DF-0348</t>
  </si>
  <si>
    <t>SB-0438</t>
  </si>
  <si>
    <t>CD-0407</t>
  </si>
  <si>
    <t>DF-0349</t>
  </si>
  <si>
    <t>SB-0439</t>
  </si>
  <si>
    <t>CD-0408</t>
  </si>
  <si>
    <t>SB-0440</t>
  </si>
  <si>
    <t>DF-0351</t>
  </si>
  <si>
    <t>CD-0410</t>
  </si>
  <si>
    <t>DF-0353</t>
  </si>
  <si>
    <t>SB-0443</t>
  </si>
  <si>
    <t>DF-0354</t>
  </si>
  <si>
    <t>SB-0444</t>
  </si>
  <si>
    <t>CD-0413</t>
  </si>
  <si>
    <t>DF-0355</t>
  </si>
  <si>
    <t>CD-0414</t>
  </si>
  <si>
    <t>DF-0356</t>
  </si>
  <si>
    <t>DF-0357</t>
  </si>
  <si>
    <t>SB-0447</t>
  </si>
  <si>
    <t>CD-0416</t>
  </si>
  <si>
    <t>DF-0358</t>
  </si>
  <si>
    <t>CD-0417</t>
  </si>
  <si>
    <t>SB-0449</t>
  </si>
  <si>
    <t>SB-0450</t>
  </si>
  <si>
    <t>DF-0361</t>
  </si>
  <si>
    <t>SB-0451</t>
  </si>
  <si>
    <t>SB-0452</t>
  </si>
  <si>
    <t>DF-0363</t>
  </si>
  <si>
    <t>SB-0453</t>
  </si>
  <si>
    <t>CD-0422</t>
  </si>
  <si>
    <t>DF-0364</t>
  </si>
  <si>
    <t>DF-0365</t>
  </si>
  <si>
    <t>SB-0455</t>
  </si>
  <si>
    <t>DF-0366</t>
  </si>
  <si>
    <t>SB-0456</t>
  </si>
  <si>
    <t>DF-0367</t>
  </si>
  <si>
    <t>SB-0457</t>
  </si>
  <si>
    <t>CD-0426</t>
  </si>
  <si>
    <t>DF-0368</t>
  </si>
  <si>
    <t>SB-0458</t>
  </si>
  <si>
    <t>CD-0427</t>
  </si>
  <si>
    <t>DF-0369</t>
  </si>
  <si>
    <t>SB-0459</t>
  </si>
  <si>
    <t>DF-0370</t>
  </si>
  <si>
    <t>CD-0429</t>
  </si>
  <si>
    <t>DF-0371</t>
  </si>
  <si>
    <t>SB-0461</t>
  </si>
  <si>
    <t>CD-0430</t>
  </si>
  <si>
    <t>DF-0372</t>
  </si>
  <si>
    <t>SB-0462</t>
  </si>
  <si>
    <t>CD-0431</t>
  </si>
  <si>
    <t>SB-0463</t>
  </si>
  <si>
    <t>CD-0432</t>
  </si>
  <si>
    <t>DF-0374</t>
  </si>
  <si>
    <t>SB-0465</t>
  </si>
  <si>
    <t>CD-0434</t>
  </si>
  <si>
    <t>DF-0376</t>
  </si>
  <si>
    <t>CD-0435</t>
  </si>
  <si>
    <t>DF-0377</t>
  </si>
  <si>
    <t>SB-0467</t>
  </si>
  <si>
    <t>CD-0436</t>
  </si>
  <si>
    <t>DF-0378</t>
  </si>
  <si>
    <t>SB-0468</t>
  </si>
  <si>
    <t>CD-0437</t>
  </si>
  <si>
    <t>DF-0379</t>
  </si>
  <si>
    <t>CD-0438</t>
  </si>
  <si>
    <t>CD-0439</t>
  </si>
  <si>
    <t>DF-0381</t>
  </si>
  <si>
    <t>SB-0471</t>
  </si>
  <si>
    <t>SB-0472</t>
  </si>
  <si>
    <t>CD-0442</t>
  </si>
  <si>
    <t>SB-0475</t>
  </si>
  <si>
    <t>DF-0386</t>
  </si>
  <si>
    <t>SB-0476</t>
  </si>
  <si>
    <t>CD-0445</t>
  </si>
  <si>
    <t>SB-0478</t>
  </si>
  <si>
    <t>SB-0479</t>
  </si>
  <si>
    <t>CD-0448</t>
  </si>
  <si>
    <t>DF-0390</t>
  </si>
  <si>
    <t>SB-0480</t>
  </si>
  <si>
    <t>DF-0391</t>
  </si>
  <si>
    <t>SB-0481</t>
  </si>
  <si>
    <t>CD-0450</t>
  </si>
  <si>
    <t>DF-0392</t>
  </si>
  <si>
    <t>SB-0482</t>
  </si>
  <si>
    <t>CD-0451</t>
  </si>
  <si>
    <t>DF-0393</t>
  </si>
  <si>
    <t>CD-0452</t>
  </si>
  <si>
    <t>DF-0395</t>
  </si>
  <si>
    <t>SB-0485</t>
  </si>
  <si>
    <t>CD-0454</t>
  </si>
  <si>
    <t>CD-0455</t>
  </si>
  <si>
    <t>SB-0487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</si>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</sst>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$&quot;\ * #,##0_-;\-&quot;$&quot;\ * #,##0_-;_-&quot;$&quot;\ * &quot;-&quot;_-;_-@_-"/>
    <numFmt numFmtId="41" formatCode="_-* #,##0_-;\-* #,##0_-;_-* &quot;-&quot;_-;_-@_-"/>
    <numFmt numFmtId="43" formatCode="_-* #,##0.00_-;\-* #,##0.00_-;_-* &quot;-&quot;??_-;_-@_-"/>
    <numFmt numFmtId="164" formatCode="_-&quot;S/&quot;* #,##0.00_-;\-&quot;S/&quot;* #,##0.00_-;_-&quot;S/&quot;* &quot;-&quot;??_-;_-@_-"/>
    <numFmt numFmtId="165" formatCode="_-* #,##0_-;\-* #,##0_-;_-* &quot;-&quot;??_-;_-@_-"/>
    <numFmt numFmtId="166" formatCode="&quot;$&quot;\ #.##0;[Red]\-&quot;$&quot;\ #.##0"/>
    <numFmt numFmtId="167" formatCode="_-&quot;$&quot;\ * #,##0.0_-;\-&quot;$&quot;\ * #,##0.0_-;_-&quot;$&quot;\ 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32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164" fontId="0" fillId="0" borderId="0" xfId="2" applyFont="1"/>
    <xf numFmtId="0" fontId="2" fillId="2" borderId="0" xfId="0" applyFont="1" applyFill="1" applyAlignment="1">
      <alignment horizontal="center"/>
    </xf>
    <xf numFmtId="14" fontId="2" fillId="3" borderId="1" xfId="0" applyNumberFormat="1" applyFont="1" applyFill="1" applyBorder="1"/>
    <xf numFmtId="0" fontId="2" fillId="3" borderId="1" xfId="0" applyFont="1" applyFill="1" applyBorder="1"/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1" fontId="0" fillId="0" borderId="0" xfId="3" applyFont="1"/>
    <xf numFmtId="42" fontId="0" fillId="0" borderId="1" xfId="4" applyFont="1" applyBorder="1" applyAlignment="1"/>
    <xf numFmtId="0" fontId="2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0" fontId="0" fillId="0" borderId="0" xfId="0" applyNumberFormat="1" applyAlignment="1">
      <alignment horizontal="center"/>
    </xf>
    <xf numFmtId="14" fontId="0" fillId="0" borderId="1" xfId="0" applyNumberFormat="1" applyBorder="1"/>
    <xf numFmtId="9" fontId="0" fillId="0" borderId="0" xfId="0" applyNumberFormat="1"/>
    <xf numFmtId="166" fontId="0" fillId="0" borderId="0" xfId="0" applyNumberFormat="1"/>
    <xf numFmtId="41" fontId="0" fillId="0" borderId="1" xfId="3" applyFont="1" applyBorder="1" applyAlignment="1"/>
    <xf numFmtId="3" fontId="0" fillId="0" borderId="0" xfId="0" applyNumberFormat="1"/>
    <xf numFmtId="14" fontId="0" fillId="4" borderId="1" xfId="0" applyNumberFormat="1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/>
    <xf numFmtId="42" fontId="0" fillId="4" borderId="1" xfId="4" applyFont="1" applyFill="1" applyBorder="1"/>
    <xf numFmtId="167" fontId="0" fillId="0" borderId="1" xfId="4" applyNumberFormat="1" applyFont="1" applyBorder="1" applyAlignment="1"/>
    <xf numFmtId="42" fontId="0" fillId="0" borderId="1" xfId="4" applyNumberFormat="1" applyFont="1" applyBorder="1" applyAlignment="1"/>
    <xf numFmtId="165" fontId="0" fillId="0" borderId="0" xfId="0" applyNumberFormat="1"/>
    <xf numFmtId="0" fontId="5" fillId="0" borderId="0" xfId="0" applyFont="1"/>
  </cellXfs>
  <cellStyles count="5">
    <cellStyle name="Millares" xfId="1" builtinId="3"/>
    <cellStyle name="Millares [0]" xfId="3" builtinId="6"/>
    <cellStyle name="Moneda" xfId="2" builtinId="4"/>
    <cellStyle name="Moneda [0]" xfId="4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Gráficos!$B$1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Gráficos!$A$2:$A$8</c:f>
              <c:strCache>
                <c:ptCount val="7"/>
                <c:pt idx="0">
                  <c:v>Producto 1</c:v>
                </c:pt>
                <c:pt idx="1">
                  <c:v>Producto 2</c:v>
                </c:pt>
                <c:pt idx="2">
                  <c:v>Producto 3</c:v>
                </c:pt>
                <c:pt idx="3">
                  <c:v>Producto 4</c:v>
                </c:pt>
                <c:pt idx="4">
                  <c:v>Producto 5</c:v>
                </c:pt>
                <c:pt idx="5">
                  <c:v>Producto 6</c:v>
                </c:pt>
                <c:pt idx="6">
                  <c:v>Producto 7</c:v>
                </c:pt>
              </c:strCache>
            </c:strRef>
          </c:cat>
          <c:val>
            <c:numRef>
              <c:f>Gráficos!$B$2:$B$8</c:f>
              <c:numCache>
                <c:formatCode>_-* #,##0_-;\-* #,##0_-;_-* "-"??_-;_-@_-</c:formatCode>
                <c:ptCount val="7"/>
                <c:pt idx="0">
                  <c:v>3065</c:v>
                </c:pt>
                <c:pt idx="1">
                  <c:v>4143</c:v>
                </c:pt>
                <c:pt idx="2">
                  <c:v>1894</c:v>
                </c:pt>
                <c:pt idx="3">
                  <c:v>3085</c:v>
                </c:pt>
                <c:pt idx="4">
                  <c:v>2670</c:v>
                </c:pt>
                <c:pt idx="5">
                  <c:v>3579</c:v>
                </c:pt>
                <c:pt idx="6">
                  <c:v>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BB-47AE-B21A-0A8EE5D57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6637871"/>
        <c:axId val="1500263983"/>
      </c:barChart>
      <c:catAx>
        <c:axId val="143663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00263983"/>
        <c:crosses val="autoZero"/>
        <c:auto val="1"/>
        <c:lblAlgn val="ctr"/>
        <c:lblOffset val="100"/>
        <c:noMultiLvlLbl val="0"/>
      </c:catAx>
      <c:valAx>
        <c:axId val="150026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3663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Gráficos!$B$1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Gráficos!$A$2:$A$8</c:f>
              <c:strCache>
                <c:ptCount val="7"/>
                <c:pt idx="0">
                  <c:v>Producto 1</c:v>
                </c:pt>
                <c:pt idx="1">
                  <c:v>Producto 2</c:v>
                </c:pt>
                <c:pt idx="2">
                  <c:v>Producto 3</c:v>
                </c:pt>
                <c:pt idx="3">
                  <c:v>Producto 4</c:v>
                </c:pt>
                <c:pt idx="4">
                  <c:v>Producto 5</c:v>
                </c:pt>
                <c:pt idx="5">
                  <c:v>Producto 6</c:v>
                </c:pt>
                <c:pt idx="6">
                  <c:v>Producto 7</c:v>
                </c:pt>
              </c:strCache>
            </c:strRef>
          </c:cat>
          <c:val>
            <c:numRef>
              <c:f>Gráficos!$B$2:$B$8</c:f>
              <c:numCache>
                <c:formatCode>_-* #,##0_-;\-* #,##0_-;_-* "-"??_-;_-@_-</c:formatCode>
                <c:ptCount val="7"/>
                <c:pt idx="0">
                  <c:v>3065</c:v>
                </c:pt>
                <c:pt idx="1">
                  <c:v>4143</c:v>
                </c:pt>
                <c:pt idx="2">
                  <c:v>1894</c:v>
                </c:pt>
                <c:pt idx="3">
                  <c:v>3085</c:v>
                </c:pt>
                <c:pt idx="4">
                  <c:v>2670</c:v>
                </c:pt>
                <c:pt idx="5">
                  <c:v>3579</c:v>
                </c:pt>
                <c:pt idx="6">
                  <c:v>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E5-4EA2-ABED-FBC4DF369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5757919"/>
        <c:axId val="1491514911"/>
      </c:barChart>
      <c:catAx>
        <c:axId val="149575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91514911"/>
        <c:crosses val="autoZero"/>
        <c:auto val="1"/>
        <c:lblAlgn val="ctr"/>
        <c:lblOffset val="100"/>
        <c:noMultiLvlLbl val="0"/>
      </c:catAx>
      <c:valAx>
        <c:axId val="149151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95757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190B353-15D3-43B1-B73E-F48750C3FDCD}">
  <sheetPr/>
  <sheetViews>
    <sheetView zoomScale="13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C67A426-A9C4-4D0B-A5A4-EE51FA2C609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565150</xdr:colOff>
      <xdr:row>5</xdr:row>
      <xdr:rowOff>57150</xdr:rowOff>
    </xdr:from>
    <xdr:to>
      <xdr:col>7</xdr:col>
      <xdr:colOff>641350</xdr:colOff>
      <xdr:row>19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CEE520E-7671-45FE-8A0F-21C8192116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947"/>
  <sheetViews>
    <sheetView tabSelected="1" zoomScale="91" zoomScaleNormal="91" workbookViewId="0">
      <selection activeCell="J9" sqref="J9"/>
    </sheetView>
  </sheetViews>
  <sheetFormatPr baseColWidth="10" defaultRowHeight="15" x14ac:dyDescent="0.25"/>
  <cols>
    <col min="1" max="1" width="14.7109375" customWidth="1"/>
    <col min="2" max="2" width="17.140625" customWidth="1"/>
    <col min="3" max="3" width="14.85546875" customWidth="1"/>
    <col min="4" max="4" width="13.140625" bestFit="1" customWidth="1"/>
    <col min="5" max="5" width="13" customWidth="1"/>
    <col min="6" max="6" width="14.7109375" customWidth="1"/>
    <col min="7" max="7" width="18.5703125" customWidth="1"/>
    <col min="8" max="8" width="4.5703125" customWidth="1"/>
    <col min="9" max="9" width="75.42578125" customWidth="1"/>
    <col min="10" max="10" width="16.140625" bestFit="1" customWidth="1"/>
  </cols>
  <sheetData>
    <row r="1" spans="1:11" ht="21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11" x14ac:dyDescent="0.25">
      <c r="A2" t="s">
        <v>7</v>
      </c>
      <c r="B2" t="s">
        <v>399</v>
      </c>
      <c r="C2" t="s">
        <v>463</v>
      </c>
      <c r="D2" s="1">
        <v>43868</v>
      </c>
      <c r="E2" s="2">
        <v>5316</v>
      </c>
      <c r="F2" s="3">
        <v>474.43</v>
      </c>
      <c r="G2" s="3">
        <f>E2*F2</f>
        <v>2522069.88</v>
      </c>
      <c r="I2" s="5" t="s">
        <v>402</v>
      </c>
      <c r="J2" s="6"/>
    </row>
    <row r="3" spans="1:11" ht="30" x14ac:dyDescent="0.25">
      <c r="A3" t="s">
        <v>8</v>
      </c>
      <c r="B3" t="s">
        <v>399</v>
      </c>
      <c r="C3" t="s">
        <v>463</v>
      </c>
      <c r="D3" s="1">
        <v>43835</v>
      </c>
      <c r="E3" s="2">
        <v>4693</v>
      </c>
      <c r="F3" s="3">
        <v>199.06</v>
      </c>
      <c r="G3" s="3">
        <f t="shared" ref="G3:G66" si="0">E3*F3</f>
        <v>934188.58</v>
      </c>
      <c r="I3" s="7" t="s">
        <v>414</v>
      </c>
      <c r="J3" s="28">
        <f>SUMIFS(Cantidad,Procedencia,"alemania",Destino,"medellín")</f>
        <v>84503</v>
      </c>
    </row>
    <row r="4" spans="1:11" ht="30" x14ac:dyDescent="0.25">
      <c r="A4" t="s">
        <v>9</v>
      </c>
      <c r="B4" t="s">
        <v>397</v>
      </c>
      <c r="C4" t="s">
        <v>410</v>
      </c>
      <c r="D4" s="1">
        <v>43845</v>
      </c>
      <c r="E4" s="2">
        <v>9427</v>
      </c>
      <c r="F4" s="3">
        <v>308.31</v>
      </c>
      <c r="G4" s="3">
        <f t="shared" si="0"/>
        <v>2906438.37</v>
      </c>
      <c r="I4" s="8" t="s">
        <v>415</v>
      </c>
      <c r="J4" s="29">
        <f>SUMIFS(Costo_total,Destino,"Manizales",Cantidad,"&gt;=5000",Cantidad,"&gt;=6000")</f>
        <v>86141417.489999995</v>
      </c>
    </row>
    <row r="5" spans="1:11" ht="30" x14ac:dyDescent="0.25">
      <c r="A5" t="s">
        <v>464</v>
      </c>
      <c r="B5" t="s">
        <v>395</v>
      </c>
      <c r="C5" t="s">
        <v>411</v>
      </c>
      <c r="D5" s="1">
        <v>43877</v>
      </c>
      <c r="E5" s="2">
        <v>8108</v>
      </c>
      <c r="F5" s="3">
        <v>135.51</v>
      </c>
      <c r="G5" s="3">
        <f t="shared" si="0"/>
        <v>1098715.0799999998</v>
      </c>
      <c r="I5" s="9" t="s">
        <v>403</v>
      </c>
      <c r="J5" s="28">
        <f>SUMIFS(Cantidad,Código,"?B*",Fecha_Ingreso,"1/2/2020",Fecha_Ingreso,"&lt;=29/02/2020")</f>
        <v>22839</v>
      </c>
    </row>
    <row r="6" spans="1:11" ht="30" x14ac:dyDescent="0.25">
      <c r="A6" t="s">
        <v>465</v>
      </c>
      <c r="B6" t="s">
        <v>396</v>
      </c>
      <c r="C6" t="s">
        <v>411</v>
      </c>
      <c r="D6" s="1">
        <v>43836</v>
      </c>
      <c r="E6" s="2">
        <v>4461</v>
      </c>
      <c r="F6" s="3">
        <v>317.07</v>
      </c>
      <c r="G6" s="3">
        <f t="shared" si="0"/>
        <v>1414449.27</v>
      </c>
      <c r="I6" s="9" t="s">
        <v>404</v>
      </c>
      <c r="J6" s="20">
        <f>AVERAGEIFS(Costo_unitario,Procedencia,"&lt;&gt;china",Procedencia,"&lt;&gt;España")</f>
        <v>282.6062836879434</v>
      </c>
    </row>
    <row r="7" spans="1:11" ht="30" x14ac:dyDescent="0.25">
      <c r="A7" t="s">
        <v>466</v>
      </c>
      <c r="B7" t="s">
        <v>393</v>
      </c>
      <c r="C7" t="s">
        <v>410</v>
      </c>
      <c r="D7" s="1">
        <v>43887</v>
      </c>
      <c r="E7" s="2">
        <v>1349</v>
      </c>
      <c r="F7" s="3">
        <v>486.58</v>
      </c>
      <c r="G7" s="3">
        <f t="shared" si="0"/>
        <v>656396.41999999993</v>
      </c>
      <c r="I7" s="9" t="s">
        <v>417</v>
      </c>
      <c r="J7" s="11">
        <f>AVERAGEIFS(Costo_total,Costo_total,"&gt;1000000",Destino,"Medellín")</f>
        <v>2089899.303442623</v>
      </c>
      <c r="K7" s="21"/>
    </row>
    <row r="8" spans="1:11" ht="30" x14ac:dyDescent="0.25">
      <c r="A8" t="s">
        <v>467</v>
      </c>
      <c r="B8" t="s">
        <v>397</v>
      </c>
      <c r="C8" t="s">
        <v>412</v>
      </c>
      <c r="D8" s="1">
        <v>43847</v>
      </c>
      <c r="E8" s="2">
        <v>8444</v>
      </c>
      <c r="F8" s="3">
        <v>256.79000000000002</v>
      </c>
      <c r="G8" s="3">
        <f t="shared" si="0"/>
        <v>2168334.7600000002</v>
      </c>
      <c r="I8" s="9" t="s">
        <v>416</v>
      </c>
      <c r="J8" s="11">
        <f>AVERAGE(AVERAGEIFS(Costo_unitario,Procedencia,"china",Destino,"lima"),(AVERAGEIFS(Costo_unitario,Procedencia,"china",Destino,"Medellín")))</f>
        <v>325.26800000000003</v>
      </c>
    </row>
    <row r="9" spans="1:11" ht="34.5" customHeight="1" x14ac:dyDescent="0.25">
      <c r="A9" t="s">
        <v>360</v>
      </c>
      <c r="B9" t="s">
        <v>399</v>
      </c>
      <c r="C9" t="s">
        <v>463</v>
      </c>
      <c r="D9" s="1">
        <v>43852</v>
      </c>
      <c r="E9" s="2">
        <v>6734</v>
      </c>
      <c r="F9" s="3">
        <v>58.46</v>
      </c>
      <c r="G9" s="3">
        <f t="shared" si="0"/>
        <v>393669.64</v>
      </c>
      <c r="I9" s="9" t="s">
        <v>405</v>
      </c>
      <c r="J9" s="11"/>
      <c r="K9" s="21"/>
    </row>
    <row r="10" spans="1:11" ht="18.75" customHeight="1" x14ac:dyDescent="0.25">
      <c r="A10" t="s">
        <v>468</v>
      </c>
      <c r="B10" t="s">
        <v>395</v>
      </c>
      <c r="C10" t="s">
        <v>406</v>
      </c>
      <c r="D10" s="1">
        <v>43837</v>
      </c>
      <c r="E10" s="2">
        <v>8100</v>
      </c>
      <c r="F10" s="3">
        <v>362.25</v>
      </c>
      <c r="G10" s="3">
        <f t="shared" si="0"/>
        <v>2934225</v>
      </c>
      <c r="I10" s="17" t="s">
        <v>460</v>
      </c>
      <c r="J10" s="11"/>
    </row>
    <row r="11" spans="1:11" ht="34.5" customHeight="1" x14ac:dyDescent="0.25">
      <c r="A11" t="s">
        <v>65</v>
      </c>
      <c r="B11" t="s">
        <v>397</v>
      </c>
      <c r="C11" t="s">
        <v>408</v>
      </c>
      <c r="D11" s="1">
        <v>43849</v>
      </c>
      <c r="E11" s="2">
        <v>4840</v>
      </c>
      <c r="F11" s="3">
        <v>196.13</v>
      </c>
      <c r="G11" s="3">
        <f t="shared" si="0"/>
        <v>949269.2</v>
      </c>
      <c r="I11" s="8" t="s">
        <v>461</v>
      </c>
      <c r="J11" s="11"/>
    </row>
    <row r="12" spans="1:11" x14ac:dyDescent="0.25">
      <c r="A12" t="s">
        <v>73</v>
      </c>
      <c r="B12" t="s">
        <v>397</v>
      </c>
      <c r="C12" t="s">
        <v>410</v>
      </c>
      <c r="D12" s="1">
        <v>43881</v>
      </c>
      <c r="E12" s="2">
        <v>8030</v>
      </c>
      <c r="F12" s="3">
        <v>185.88</v>
      </c>
      <c r="G12" s="3">
        <f t="shared" si="0"/>
        <v>1492616.4</v>
      </c>
    </row>
    <row r="13" spans="1:11" x14ac:dyDescent="0.25">
      <c r="A13" t="s">
        <v>35</v>
      </c>
      <c r="B13" t="s">
        <v>394</v>
      </c>
      <c r="C13" t="s">
        <v>410</v>
      </c>
      <c r="D13" s="1">
        <v>43852</v>
      </c>
      <c r="E13" s="2">
        <v>2419</v>
      </c>
      <c r="F13" s="3">
        <v>401.3</v>
      </c>
      <c r="G13" s="3">
        <f t="shared" si="0"/>
        <v>970744.70000000007</v>
      </c>
    </row>
    <row r="14" spans="1:11" x14ac:dyDescent="0.25">
      <c r="A14" t="s">
        <v>469</v>
      </c>
      <c r="B14" t="s">
        <v>397</v>
      </c>
      <c r="C14" t="s">
        <v>408</v>
      </c>
      <c r="D14" s="1">
        <v>43854</v>
      </c>
      <c r="E14" s="2">
        <v>9358</v>
      </c>
      <c r="F14" s="3">
        <v>473.18</v>
      </c>
      <c r="G14" s="3">
        <f t="shared" si="0"/>
        <v>4428018.4400000004</v>
      </c>
      <c r="I14" s="5" t="s">
        <v>459</v>
      </c>
    </row>
    <row r="15" spans="1:11" x14ac:dyDescent="0.25">
      <c r="A15" t="s">
        <v>101</v>
      </c>
      <c r="B15" t="s">
        <v>393</v>
      </c>
      <c r="C15" t="s">
        <v>412</v>
      </c>
      <c r="D15" s="1">
        <v>43871</v>
      </c>
      <c r="E15" s="2">
        <v>1406</v>
      </c>
      <c r="F15" s="3">
        <v>443.01</v>
      </c>
      <c r="G15" s="3">
        <f t="shared" si="0"/>
        <v>622872.05999999994</v>
      </c>
    </row>
    <row r="16" spans="1:11" ht="30" x14ac:dyDescent="0.25">
      <c r="A16" t="s">
        <v>470</v>
      </c>
      <c r="B16" t="s">
        <v>400</v>
      </c>
      <c r="C16" t="s">
        <v>401</v>
      </c>
      <c r="D16" s="1">
        <v>43855</v>
      </c>
      <c r="E16" s="2">
        <v>3343</v>
      </c>
      <c r="F16" s="3">
        <v>151.77000000000001</v>
      </c>
      <c r="G16" s="3">
        <f t="shared" si="0"/>
        <v>507367.11000000004</v>
      </c>
      <c r="I16" s="22" t="s">
        <v>418</v>
      </c>
      <c r="J16" s="23">
        <f>SUMIFS(Cantidad,Procedencia,"Argentina",Destino,"Armenia")</f>
        <v>92642</v>
      </c>
      <c r="K16" s="23">
        <v>92642</v>
      </c>
    </row>
    <row r="17" spans="1:11" x14ac:dyDescent="0.25">
      <c r="A17" t="s">
        <v>259</v>
      </c>
      <c r="B17" t="s">
        <v>399</v>
      </c>
      <c r="C17" t="s">
        <v>411</v>
      </c>
      <c r="D17" s="1">
        <v>43888</v>
      </c>
      <c r="E17" s="2">
        <v>847</v>
      </c>
      <c r="F17" s="3">
        <v>410.97</v>
      </c>
      <c r="G17" s="3">
        <f t="shared" si="0"/>
        <v>348091.59</v>
      </c>
      <c r="I17" s="24" t="s">
        <v>419</v>
      </c>
      <c r="J17" s="27">
        <f>SUMIFS(Costo_total,Procedencia,"Canadá")</f>
        <v>174203935.35999998</v>
      </c>
      <c r="K17" s="23">
        <v>0</v>
      </c>
    </row>
    <row r="18" spans="1:11" ht="30" x14ac:dyDescent="0.25">
      <c r="A18" t="s">
        <v>230</v>
      </c>
      <c r="B18" t="s">
        <v>400</v>
      </c>
      <c r="C18" t="s">
        <v>463</v>
      </c>
      <c r="D18" s="1">
        <v>43869</v>
      </c>
      <c r="E18" s="2">
        <v>7816</v>
      </c>
      <c r="F18" s="3">
        <v>267.83</v>
      </c>
      <c r="G18" s="3">
        <f t="shared" si="0"/>
        <v>2093359.2799999998</v>
      </c>
      <c r="I18" s="25" t="s">
        <v>462</v>
      </c>
      <c r="J18" s="26"/>
    </row>
    <row r="19" spans="1:11" x14ac:dyDescent="0.25">
      <c r="A19" t="s">
        <v>471</v>
      </c>
      <c r="B19" t="s">
        <v>398</v>
      </c>
      <c r="C19" t="s">
        <v>408</v>
      </c>
      <c r="D19" s="1">
        <v>43838</v>
      </c>
      <c r="E19" s="2">
        <v>8591</v>
      </c>
      <c r="F19" s="3">
        <v>274.68</v>
      </c>
      <c r="G19" s="3">
        <f t="shared" si="0"/>
        <v>2359775.88</v>
      </c>
    </row>
    <row r="20" spans="1:11" x14ac:dyDescent="0.25">
      <c r="A20" t="s">
        <v>472</v>
      </c>
      <c r="B20" t="s">
        <v>398</v>
      </c>
      <c r="C20" t="s">
        <v>411</v>
      </c>
      <c r="D20" s="1">
        <v>43842</v>
      </c>
      <c r="E20" s="2">
        <v>561</v>
      </c>
      <c r="F20" s="3">
        <v>159.76</v>
      </c>
      <c r="G20" s="3">
        <f t="shared" si="0"/>
        <v>89625.36</v>
      </c>
    </row>
    <row r="21" spans="1:11" x14ac:dyDescent="0.25">
      <c r="A21" t="s">
        <v>473</v>
      </c>
      <c r="B21" t="s">
        <v>400</v>
      </c>
      <c r="C21" t="s">
        <v>463</v>
      </c>
      <c r="D21" s="1">
        <v>43871</v>
      </c>
      <c r="E21" s="2">
        <v>3247</v>
      </c>
      <c r="F21" s="3">
        <v>393.12</v>
      </c>
      <c r="G21" s="3">
        <f t="shared" si="0"/>
        <v>1276460.6400000001</v>
      </c>
    </row>
    <row r="22" spans="1:11" x14ac:dyDescent="0.25">
      <c r="A22" t="s">
        <v>474</v>
      </c>
      <c r="B22" t="s">
        <v>400</v>
      </c>
      <c r="C22" t="s">
        <v>407</v>
      </c>
      <c r="D22" s="1">
        <v>43870</v>
      </c>
      <c r="E22" s="2">
        <v>4449</v>
      </c>
      <c r="F22" s="3">
        <v>157.75</v>
      </c>
      <c r="G22" s="3">
        <f t="shared" si="0"/>
        <v>701829.75</v>
      </c>
    </row>
    <row r="23" spans="1:11" x14ac:dyDescent="0.25">
      <c r="A23" t="s">
        <v>256</v>
      </c>
      <c r="B23" t="s">
        <v>394</v>
      </c>
      <c r="C23" t="s">
        <v>412</v>
      </c>
      <c r="D23" s="1">
        <v>43863</v>
      </c>
      <c r="E23" s="2">
        <v>6688</v>
      </c>
      <c r="F23" s="3">
        <v>242.46</v>
      </c>
      <c r="G23" s="3">
        <f t="shared" si="0"/>
        <v>1621572.48</v>
      </c>
    </row>
    <row r="24" spans="1:11" x14ac:dyDescent="0.25">
      <c r="A24" t="s">
        <v>319</v>
      </c>
      <c r="B24" t="s">
        <v>397</v>
      </c>
      <c r="C24" t="s">
        <v>410</v>
      </c>
      <c r="D24" s="1">
        <v>43873</v>
      </c>
      <c r="E24" s="2">
        <v>3439</v>
      </c>
      <c r="F24" s="3">
        <v>488.76</v>
      </c>
      <c r="G24" s="3">
        <f t="shared" si="0"/>
        <v>1680845.64</v>
      </c>
    </row>
    <row r="25" spans="1:11" x14ac:dyDescent="0.25">
      <c r="A25" t="s">
        <v>312</v>
      </c>
      <c r="B25" t="s">
        <v>398</v>
      </c>
      <c r="C25" t="s">
        <v>408</v>
      </c>
      <c r="D25" s="1">
        <v>43879</v>
      </c>
      <c r="E25" s="2">
        <v>3241</v>
      </c>
      <c r="F25" s="3">
        <v>494.56</v>
      </c>
      <c r="G25" s="3">
        <f t="shared" si="0"/>
        <v>1602868.96</v>
      </c>
    </row>
    <row r="26" spans="1:11" x14ac:dyDescent="0.25">
      <c r="A26" t="s">
        <v>475</v>
      </c>
      <c r="B26" t="s">
        <v>398</v>
      </c>
      <c r="C26" t="s">
        <v>411</v>
      </c>
      <c r="D26" s="1">
        <v>43858</v>
      </c>
      <c r="E26" s="2">
        <v>7069</v>
      </c>
      <c r="F26" s="3">
        <v>299.33</v>
      </c>
      <c r="G26" s="3">
        <f t="shared" si="0"/>
        <v>2115963.77</v>
      </c>
    </row>
    <row r="27" spans="1:11" x14ac:dyDescent="0.25">
      <c r="A27" t="s">
        <v>310</v>
      </c>
      <c r="B27" t="s">
        <v>394</v>
      </c>
      <c r="C27" t="s">
        <v>407</v>
      </c>
      <c r="D27" s="1">
        <v>43854</v>
      </c>
      <c r="E27" s="2">
        <v>3062</v>
      </c>
      <c r="F27" s="3">
        <v>235.96</v>
      </c>
      <c r="G27" s="3">
        <f t="shared" si="0"/>
        <v>722509.52</v>
      </c>
    </row>
    <row r="28" spans="1:11" x14ac:dyDescent="0.25">
      <c r="A28" t="s">
        <v>476</v>
      </c>
      <c r="B28" t="s">
        <v>400</v>
      </c>
      <c r="C28" t="s">
        <v>410</v>
      </c>
      <c r="D28" s="1">
        <v>43854</v>
      </c>
      <c r="E28" s="2">
        <v>4417</v>
      </c>
      <c r="F28" s="3">
        <v>199.36</v>
      </c>
      <c r="G28" s="3">
        <f t="shared" si="0"/>
        <v>880573.12000000011</v>
      </c>
    </row>
    <row r="29" spans="1:11" x14ac:dyDescent="0.25">
      <c r="A29" t="s">
        <v>477</v>
      </c>
      <c r="B29" t="s">
        <v>393</v>
      </c>
      <c r="C29" t="s">
        <v>410</v>
      </c>
      <c r="D29" s="1">
        <v>43883</v>
      </c>
      <c r="E29" s="2">
        <v>4261</v>
      </c>
      <c r="F29" s="3">
        <v>186.13</v>
      </c>
      <c r="G29" s="3">
        <f t="shared" si="0"/>
        <v>793099.92999999993</v>
      </c>
    </row>
    <row r="30" spans="1:11" x14ac:dyDescent="0.25">
      <c r="A30" t="s">
        <v>210</v>
      </c>
      <c r="B30" t="s">
        <v>395</v>
      </c>
      <c r="C30" t="s">
        <v>411</v>
      </c>
      <c r="D30" s="1">
        <v>43875</v>
      </c>
      <c r="E30" s="2">
        <v>1186</v>
      </c>
      <c r="F30" s="3">
        <v>131.72999999999999</v>
      </c>
      <c r="G30" s="3">
        <f t="shared" si="0"/>
        <v>156231.78</v>
      </c>
    </row>
    <row r="31" spans="1:11" x14ac:dyDescent="0.25">
      <c r="A31" t="s">
        <v>478</v>
      </c>
      <c r="B31" t="s">
        <v>399</v>
      </c>
      <c r="C31" t="s">
        <v>410</v>
      </c>
      <c r="D31" s="1">
        <v>43879</v>
      </c>
      <c r="E31" s="2">
        <v>864</v>
      </c>
      <c r="F31" s="3">
        <v>338.24</v>
      </c>
      <c r="G31" s="3">
        <f t="shared" si="0"/>
        <v>292239.35999999999</v>
      </c>
    </row>
    <row r="32" spans="1:11" x14ac:dyDescent="0.25">
      <c r="A32" t="s">
        <v>342</v>
      </c>
      <c r="B32" t="s">
        <v>394</v>
      </c>
      <c r="C32" t="s">
        <v>412</v>
      </c>
      <c r="D32" s="1">
        <v>43882</v>
      </c>
      <c r="E32" s="2">
        <v>6423</v>
      </c>
      <c r="F32" s="3">
        <v>337.19</v>
      </c>
      <c r="G32" s="3">
        <f t="shared" si="0"/>
        <v>2165771.37</v>
      </c>
    </row>
    <row r="33" spans="1:7" x14ac:dyDescent="0.25">
      <c r="A33" t="s">
        <v>479</v>
      </c>
      <c r="B33" t="s">
        <v>396</v>
      </c>
      <c r="C33" t="s">
        <v>411</v>
      </c>
      <c r="D33" s="1">
        <v>43860</v>
      </c>
      <c r="E33" s="2">
        <v>2863</v>
      </c>
      <c r="F33" s="3">
        <v>50.68</v>
      </c>
      <c r="G33" s="3">
        <f t="shared" si="0"/>
        <v>145096.84</v>
      </c>
    </row>
    <row r="34" spans="1:7" x14ac:dyDescent="0.25">
      <c r="A34" t="s">
        <v>327</v>
      </c>
      <c r="B34" t="s">
        <v>393</v>
      </c>
      <c r="C34" t="s">
        <v>411</v>
      </c>
      <c r="D34" s="1">
        <v>43859</v>
      </c>
      <c r="E34" s="2">
        <v>265</v>
      </c>
      <c r="F34" s="3">
        <v>150.80000000000001</v>
      </c>
      <c r="G34" s="3">
        <f t="shared" si="0"/>
        <v>39962</v>
      </c>
    </row>
    <row r="35" spans="1:7" x14ac:dyDescent="0.25">
      <c r="A35" t="s">
        <v>480</v>
      </c>
      <c r="B35" t="s">
        <v>394</v>
      </c>
      <c r="C35" t="s">
        <v>410</v>
      </c>
      <c r="D35" s="1">
        <v>43865</v>
      </c>
      <c r="E35" s="2">
        <v>2236</v>
      </c>
      <c r="F35" s="3">
        <v>291.8</v>
      </c>
      <c r="G35" s="3">
        <f t="shared" si="0"/>
        <v>652464.80000000005</v>
      </c>
    </row>
    <row r="36" spans="1:7" x14ac:dyDescent="0.25">
      <c r="A36" t="s">
        <v>288</v>
      </c>
      <c r="B36" t="s">
        <v>399</v>
      </c>
      <c r="C36" t="s">
        <v>463</v>
      </c>
      <c r="D36" s="1">
        <v>43878</v>
      </c>
      <c r="E36" s="2">
        <v>6566</v>
      </c>
      <c r="F36" s="3">
        <v>122.85</v>
      </c>
      <c r="G36" s="3">
        <f t="shared" si="0"/>
        <v>806633.1</v>
      </c>
    </row>
    <row r="37" spans="1:7" x14ac:dyDescent="0.25">
      <c r="A37" t="s">
        <v>481</v>
      </c>
      <c r="B37" t="s">
        <v>399</v>
      </c>
      <c r="C37" t="s">
        <v>463</v>
      </c>
      <c r="D37" s="1">
        <v>43890</v>
      </c>
      <c r="E37" s="2">
        <v>3341</v>
      </c>
      <c r="F37" s="3">
        <v>437.67</v>
      </c>
      <c r="G37" s="3">
        <f t="shared" si="0"/>
        <v>1462255.47</v>
      </c>
    </row>
    <row r="38" spans="1:7" x14ac:dyDescent="0.25">
      <c r="A38" t="s">
        <v>482</v>
      </c>
      <c r="B38" t="s">
        <v>395</v>
      </c>
      <c r="C38" t="s">
        <v>410</v>
      </c>
      <c r="D38" s="1">
        <v>43849</v>
      </c>
      <c r="E38" s="2">
        <v>9014</v>
      </c>
      <c r="F38" s="3">
        <v>390.78</v>
      </c>
      <c r="G38" s="3">
        <f t="shared" si="0"/>
        <v>3522490.92</v>
      </c>
    </row>
    <row r="39" spans="1:7" x14ac:dyDescent="0.25">
      <c r="A39" t="s">
        <v>331</v>
      </c>
      <c r="B39" t="s">
        <v>394</v>
      </c>
      <c r="C39" t="s">
        <v>408</v>
      </c>
      <c r="D39" s="1">
        <v>43832</v>
      </c>
      <c r="E39" s="2">
        <v>6365</v>
      </c>
      <c r="F39" s="3">
        <v>351.16</v>
      </c>
      <c r="G39" s="3">
        <f t="shared" si="0"/>
        <v>2235133.4000000004</v>
      </c>
    </row>
    <row r="40" spans="1:7" x14ac:dyDescent="0.25">
      <c r="A40" t="s">
        <v>171</v>
      </c>
      <c r="B40" t="s">
        <v>399</v>
      </c>
      <c r="C40" t="s">
        <v>407</v>
      </c>
      <c r="D40" s="1">
        <v>43855</v>
      </c>
      <c r="E40" s="2">
        <v>7365</v>
      </c>
      <c r="F40" s="3">
        <v>333.21</v>
      </c>
      <c r="G40" s="3">
        <f t="shared" si="0"/>
        <v>2454091.65</v>
      </c>
    </row>
    <row r="41" spans="1:7" x14ac:dyDescent="0.25">
      <c r="A41" t="s">
        <v>483</v>
      </c>
      <c r="B41" t="s">
        <v>396</v>
      </c>
      <c r="C41" t="s">
        <v>401</v>
      </c>
      <c r="D41" s="1">
        <v>43860</v>
      </c>
      <c r="E41" s="2">
        <v>8743</v>
      </c>
      <c r="F41" s="3">
        <v>114.25</v>
      </c>
      <c r="G41" s="3">
        <f t="shared" si="0"/>
        <v>998887.75</v>
      </c>
    </row>
    <row r="42" spans="1:7" x14ac:dyDescent="0.25">
      <c r="A42" t="s">
        <v>484</v>
      </c>
      <c r="B42" t="s">
        <v>397</v>
      </c>
      <c r="C42" t="s">
        <v>413</v>
      </c>
      <c r="D42" s="1">
        <v>43885</v>
      </c>
      <c r="E42" s="2">
        <v>2706</v>
      </c>
      <c r="F42" s="10">
        <v>282.5</v>
      </c>
      <c r="G42" s="10">
        <f t="shared" si="0"/>
        <v>764445</v>
      </c>
    </row>
    <row r="43" spans="1:7" x14ac:dyDescent="0.25">
      <c r="A43" t="s">
        <v>485</v>
      </c>
      <c r="B43" t="s">
        <v>395</v>
      </c>
      <c r="C43" t="s">
        <v>463</v>
      </c>
      <c r="D43" s="1">
        <v>43868</v>
      </c>
      <c r="E43" s="2">
        <v>2120</v>
      </c>
      <c r="F43" s="3">
        <v>175.79</v>
      </c>
      <c r="G43" s="3">
        <f t="shared" si="0"/>
        <v>372674.8</v>
      </c>
    </row>
    <row r="44" spans="1:7" x14ac:dyDescent="0.25">
      <c r="A44" t="s">
        <v>179</v>
      </c>
      <c r="B44" t="s">
        <v>398</v>
      </c>
      <c r="C44" t="s">
        <v>413</v>
      </c>
      <c r="D44" s="1">
        <v>43837</v>
      </c>
      <c r="E44" s="2">
        <v>4287</v>
      </c>
      <c r="F44" s="10">
        <v>113.92</v>
      </c>
      <c r="G44" s="10">
        <f t="shared" si="0"/>
        <v>488375.03999999998</v>
      </c>
    </row>
    <row r="45" spans="1:7" x14ac:dyDescent="0.25">
      <c r="A45" t="s">
        <v>486</v>
      </c>
      <c r="B45" t="s">
        <v>396</v>
      </c>
      <c r="C45" t="s">
        <v>413</v>
      </c>
      <c r="D45" s="1">
        <v>43836</v>
      </c>
      <c r="E45" s="2">
        <v>7397</v>
      </c>
      <c r="F45" s="10">
        <v>97.95</v>
      </c>
      <c r="G45" s="10">
        <f t="shared" si="0"/>
        <v>724536.15</v>
      </c>
    </row>
    <row r="46" spans="1:7" x14ac:dyDescent="0.25">
      <c r="A46" t="s">
        <v>384</v>
      </c>
      <c r="B46" t="s">
        <v>400</v>
      </c>
      <c r="C46" t="s">
        <v>410</v>
      </c>
      <c r="D46" s="1">
        <v>43838</v>
      </c>
      <c r="E46" s="2">
        <v>2710</v>
      </c>
      <c r="F46" s="3">
        <v>217.36</v>
      </c>
      <c r="G46" s="3">
        <f t="shared" si="0"/>
        <v>589045.60000000009</v>
      </c>
    </row>
    <row r="47" spans="1:7" x14ac:dyDescent="0.25">
      <c r="A47" t="s">
        <v>487</v>
      </c>
      <c r="B47" t="s">
        <v>399</v>
      </c>
      <c r="C47" t="s">
        <v>406</v>
      </c>
      <c r="D47" s="1">
        <v>43871</v>
      </c>
      <c r="E47" s="2">
        <v>6688</v>
      </c>
      <c r="F47" s="3">
        <v>129.01</v>
      </c>
      <c r="G47" s="3">
        <f t="shared" si="0"/>
        <v>862818.87999999989</v>
      </c>
    </row>
    <row r="48" spans="1:7" x14ac:dyDescent="0.25">
      <c r="A48" t="s">
        <v>488</v>
      </c>
      <c r="B48" t="s">
        <v>394</v>
      </c>
      <c r="C48" t="s">
        <v>413</v>
      </c>
      <c r="D48" s="1">
        <v>43833</v>
      </c>
      <c r="E48" s="2">
        <v>8939</v>
      </c>
      <c r="F48" s="10">
        <v>185.67</v>
      </c>
      <c r="G48" s="10">
        <f t="shared" si="0"/>
        <v>1659704.13</v>
      </c>
    </row>
    <row r="49" spans="1:7" x14ac:dyDescent="0.25">
      <c r="A49" t="s">
        <v>489</v>
      </c>
      <c r="B49" t="s">
        <v>400</v>
      </c>
      <c r="C49" t="s">
        <v>408</v>
      </c>
      <c r="D49" s="1">
        <v>43863</v>
      </c>
      <c r="E49" s="2">
        <v>4772</v>
      </c>
      <c r="F49" s="3">
        <v>217.43</v>
      </c>
      <c r="G49" s="3">
        <f t="shared" si="0"/>
        <v>1037575.9600000001</v>
      </c>
    </row>
    <row r="50" spans="1:7" x14ac:dyDescent="0.25">
      <c r="A50" t="s">
        <v>490</v>
      </c>
      <c r="B50" t="s">
        <v>395</v>
      </c>
      <c r="C50" t="s">
        <v>408</v>
      </c>
      <c r="D50" s="1">
        <v>43878</v>
      </c>
      <c r="E50" s="2">
        <v>9287</v>
      </c>
      <c r="F50" s="3">
        <v>396.92</v>
      </c>
      <c r="G50" s="3">
        <f t="shared" si="0"/>
        <v>3686196.04</v>
      </c>
    </row>
    <row r="51" spans="1:7" x14ac:dyDescent="0.25">
      <c r="A51" t="s">
        <v>491</v>
      </c>
      <c r="B51" t="s">
        <v>397</v>
      </c>
      <c r="C51" t="s">
        <v>408</v>
      </c>
      <c r="D51" s="1">
        <v>43875</v>
      </c>
      <c r="E51" s="2">
        <v>3626</v>
      </c>
      <c r="F51" s="3">
        <v>481.83</v>
      </c>
      <c r="G51" s="3">
        <f t="shared" si="0"/>
        <v>1747115.5799999998</v>
      </c>
    </row>
    <row r="52" spans="1:7" x14ac:dyDescent="0.25">
      <c r="A52" t="s">
        <v>27</v>
      </c>
      <c r="B52" t="s">
        <v>397</v>
      </c>
      <c r="C52" t="s">
        <v>463</v>
      </c>
      <c r="D52" s="1">
        <v>43841</v>
      </c>
      <c r="E52" s="2">
        <v>8380</v>
      </c>
      <c r="F52" s="3">
        <v>296.86</v>
      </c>
      <c r="G52" s="3">
        <f t="shared" si="0"/>
        <v>2487686.8000000003</v>
      </c>
    </row>
    <row r="53" spans="1:7" x14ac:dyDescent="0.25">
      <c r="A53" t="s">
        <v>492</v>
      </c>
      <c r="B53" t="s">
        <v>395</v>
      </c>
      <c r="C53" t="s">
        <v>463</v>
      </c>
      <c r="D53" s="1">
        <v>43838</v>
      </c>
      <c r="E53" s="2">
        <v>162</v>
      </c>
      <c r="F53" s="3">
        <v>91.09</v>
      </c>
      <c r="G53" s="3">
        <f t="shared" si="0"/>
        <v>14756.58</v>
      </c>
    </row>
    <row r="54" spans="1:7" x14ac:dyDescent="0.25">
      <c r="A54" t="s">
        <v>493</v>
      </c>
      <c r="B54" t="s">
        <v>397</v>
      </c>
      <c r="C54" t="s">
        <v>401</v>
      </c>
      <c r="D54" s="1">
        <v>43875</v>
      </c>
      <c r="E54" s="2">
        <v>7895</v>
      </c>
      <c r="F54" s="3">
        <v>450.81</v>
      </c>
      <c r="G54" s="3">
        <f t="shared" si="0"/>
        <v>3559144.95</v>
      </c>
    </row>
    <row r="55" spans="1:7" x14ac:dyDescent="0.25">
      <c r="A55" t="s">
        <v>221</v>
      </c>
      <c r="B55" t="s">
        <v>398</v>
      </c>
      <c r="C55" t="s">
        <v>412</v>
      </c>
      <c r="D55" s="1">
        <v>43887</v>
      </c>
      <c r="E55" s="2">
        <v>7178</v>
      </c>
      <c r="F55" s="3">
        <v>380.74</v>
      </c>
      <c r="G55" s="3">
        <f t="shared" si="0"/>
        <v>2732951.72</v>
      </c>
    </row>
    <row r="56" spans="1:7" x14ac:dyDescent="0.25">
      <c r="A56" t="s">
        <v>343</v>
      </c>
      <c r="B56" t="s">
        <v>397</v>
      </c>
      <c r="C56" t="s">
        <v>413</v>
      </c>
      <c r="D56" s="1">
        <v>43838</v>
      </c>
      <c r="E56" s="2">
        <v>4172</v>
      </c>
      <c r="F56" s="10">
        <v>227.39</v>
      </c>
      <c r="G56" s="10">
        <f t="shared" si="0"/>
        <v>948671.08</v>
      </c>
    </row>
    <row r="57" spans="1:7" x14ac:dyDescent="0.25">
      <c r="A57" t="s">
        <v>494</v>
      </c>
      <c r="B57" t="s">
        <v>393</v>
      </c>
      <c r="C57" t="s">
        <v>463</v>
      </c>
      <c r="D57" s="1">
        <v>43879</v>
      </c>
      <c r="E57" s="2">
        <v>733</v>
      </c>
      <c r="F57" s="3">
        <v>150.91</v>
      </c>
      <c r="G57" s="3">
        <f t="shared" si="0"/>
        <v>110617.03</v>
      </c>
    </row>
    <row r="58" spans="1:7" x14ac:dyDescent="0.25">
      <c r="A58" t="s">
        <v>495</v>
      </c>
      <c r="B58" t="s">
        <v>397</v>
      </c>
      <c r="C58" t="s">
        <v>408</v>
      </c>
      <c r="D58" s="1">
        <v>43871</v>
      </c>
      <c r="E58" s="2">
        <v>6847</v>
      </c>
      <c r="F58" s="3">
        <v>467.46</v>
      </c>
      <c r="G58" s="3">
        <f t="shared" si="0"/>
        <v>3200698.6199999996</v>
      </c>
    </row>
    <row r="59" spans="1:7" x14ac:dyDescent="0.25">
      <c r="A59" t="s">
        <v>307</v>
      </c>
      <c r="B59" t="s">
        <v>399</v>
      </c>
      <c r="C59" t="s">
        <v>411</v>
      </c>
      <c r="D59" s="1">
        <v>43865</v>
      </c>
      <c r="E59" s="2">
        <v>5124</v>
      </c>
      <c r="F59" s="3">
        <v>221.97</v>
      </c>
      <c r="G59" s="3">
        <f t="shared" si="0"/>
        <v>1137374.28</v>
      </c>
    </row>
    <row r="60" spans="1:7" x14ac:dyDescent="0.25">
      <c r="A60" t="s">
        <v>496</v>
      </c>
      <c r="B60" t="s">
        <v>398</v>
      </c>
      <c r="C60" t="s">
        <v>401</v>
      </c>
      <c r="D60" s="1">
        <v>43890</v>
      </c>
      <c r="E60" s="2">
        <v>8272</v>
      </c>
      <c r="F60" s="3">
        <v>171.01</v>
      </c>
      <c r="G60" s="3">
        <f t="shared" si="0"/>
        <v>1414594.72</v>
      </c>
    </row>
    <row r="61" spans="1:7" x14ac:dyDescent="0.25">
      <c r="A61" t="s">
        <v>497</v>
      </c>
      <c r="B61" t="s">
        <v>400</v>
      </c>
      <c r="C61" t="s">
        <v>463</v>
      </c>
      <c r="D61" s="1">
        <v>43888</v>
      </c>
      <c r="E61" s="2">
        <v>5429</v>
      </c>
      <c r="F61" s="3">
        <v>147.02000000000001</v>
      </c>
      <c r="G61" s="3">
        <f t="shared" si="0"/>
        <v>798171.58000000007</v>
      </c>
    </row>
    <row r="62" spans="1:7" x14ac:dyDescent="0.25">
      <c r="A62" t="s">
        <v>498</v>
      </c>
      <c r="B62" t="s">
        <v>393</v>
      </c>
      <c r="C62" t="s">
        <v>407</v>
      </c>
      <c r="D62" s="1">
        <v>43870</v>
      </c>
      <c r="E62" s="2">
        <v>5464</v>
      </c>
      <c r="F62" s="3">
        <v>79.739999999999995</v>
      </c>
      <c r="G62" s="3">
        <f t="shared" si="0"/>
        <v>435699.36</v>
      </c>
    </row>
    <row r="63" spans="1:7" x14ac:dyDescent="0.25">
      <c r="A63" t="s">
        <v>499</v>
      </c>
      <c r="B63" t="s">
        <v>393</v>
      </c>
      <c r="C63" t="s">
        <v>407</v>
      </c>
      <c r="D63" s="1">
        <v>43867</v>
      </c>
      <c r="E63" s="2">
        <v>1089</v>
      </c>
      <c r="F63" s="3">
        <v>304.45</v>
      </c>
      <c r="G63" s="3">
        <f t="shared" si="0"/>
        <v>331546.05</v>
      </c>
    </row>
    <row r="64" spans="1:7" x14ac:dyDescent="0.25">
      <c r="A64" t="s">
        <v>249</v>
      </c>
      <c r="B64" t="s">
        <v>396</v>
      </c>
      <c r="C64" t="s">
        <v>410</v>
      </c>
      <c r="D64" s="1">
        <v>43839</v>
      </c>
      <c r="E64" s="2">
        <v>5588</v>
      </c>
      <c r="F64" s="3">
        <v>362.8</v>
      </c>
      <c r="G64" s="3">
        <f t="shared" si="0"/>
        <v>2027326.4000000001</v>
      </c>
    </row>
    <row r="65" spans="1:7" x14ac:dyDescent="0.25">
      <c r="A65" t="s">
        <v>500</v>
      </c>
      <c r="B65" t="s">
        <v>394</v>
      </c>
      <c r="C65" t="s">
        <v>401</v>
      </c>
      <c r="D65" s="1">
        <v>43872</v>
      </c>
      <c r="E65" s="2">
        <v>9485</v>
      </c>
      <c r="F65" s="3">
        <v>421.64</v>
      </c>
      <c r="G65" s="3">
        <f t="shared" si="0"/>
        <v>3999255.4</v>
      </c>
    </row>
    <row r="66" spans="1:7" x14ac:dyDescent="0.25">
      <c r="A66" t="s">
        <v>501</v>
      </c>
      <c r="B66" t="s">
        <v>398</v>
      </c>
      <c r="C66" t="s">
        <v>408</v>
      </c>
      <c r="D66" s="1">
        <v>43877</v>
      </c>
      <c r="E66" s="2">
        <v>3240</v>
      </c>
      <c r="F66" s="3">
        <v>157.63</v>
      </c>
      <c r="G66" s="3">
        <f t="shared" si="0"/>
        <v>510721.2</v>
      </c>
    </row>
    <row r="67" spans="1:7" x14ac:dyDescent="0.25">
      <c r="A67" t="s">
        <v>502</v>
      </c>
      <c r="B67" t="s">
        <v>394</v>
      </c>
      <c r="C67" t="s">
        <v>407</v>
      </c>
      <c r="D67" s="1">
        <v>43872</v>
      </c>
      <c r="E67" s="2">
        <v>2662</v>
      </c>
      <c r="F67" s="3">
        <v>467.5</v>
      </c>
      <c r="G67" s="3">
        <f t="shared" ref="G67:G130" si="1">E67*F67</f>
        <v>1244485</v>
      </c>
    </row>
    <row r="68" spans="1:7" x14ac:dyDescent="0.25">
      <c r="A68" t="s">
        <v>503</v>
      </c>
      <c r="B68" t="s">
        <v>396</v>
      </c>
      <c r="C68" t="s">
        <v>413</v>
      </c>
      <c r="D68" s="1">
        <v>43872</v>
      </c>
      <c r="E68" s="2">
        <v>807</v>
      </c>
      <c r="F68" s="10">
        <v>351.07</v>
      </c>
      <c r="G68" s="10">
        <f t="shared" si="1"/>
        <v>283313.49</v>
      </c>
    </row>
    <row r="69" spans="1:7" x14ac:dyDescent="0.25">
      <c r="A69" t="s">
        <v>243</v>
      </c>
      <c r="B69" t="s">
        <v>399</v>
      </c>
      <c r="C69" t="s">
        <v>463</v>
      </c>
      <c r="D69" s="1">
        <v>43883</v>
      </c>
      <c r="E69" s="2">
        <v>5856</v>
      </c>
      <c r="F69" s="3">
        <v>297.33</v>
      </c>
      <c r="G69" s="3">
        <f t="shared" si="1"/>
        <v>1741164.48</v>
      </c>
    </row>
    <row r="70" spans="1:7" x14ac:dyDescent="0.25">
      <c r="A70" t="s">
        <v>504</v>
      </c>
      <c r="B70" t="s">
        <v>394</v>
      </c>
      <c r="C70" t="s">
        <v>401</v>
      </c>
      <c r="D70" s="1">
        <v>43835</v>
      </c>
      <c r="E70" s="2">
        <v>7328</v>
      </c>
      <c r="F70" s="3">
        <v>120.71</v>
      </c>
      <c r="G70" s="3">
        <f t="shared" si="1"/>
        <v>884562.88</v>
      </c>
    </row>
    <row r="71" spans="1:7" x14ac:dyDescent="0.25">
      <c r="A71" t="s">
        <v>505</v>
      </c>
      <c r="B71" t="s">
        <v>400</v>
      </c>
      <c r="C71" t="s">
        <v>412</v>
      </c>
      <c r="D71" s="1">
        <v>43867</v>
      </c>
      <c r="E71" s="2">
        <v>8641</v>
      </c>
      <c r="F71" s="3">
        <v>146.76</v>
      </c>
      <c r="G71" s="3">
        <f t="shared" si="1"/>
        <v>1268153.1599999999</v>
      </c>
    </row>
    <row r="72" spans="1:7" x14ac:dyDescent="0.25">
      <c r="A72" t="s">
        <v>181</v>
      </c>
      <c r="B72" t="s">
        <v>400</v>
      </c>
      <c r="C72" t="s">
        <v>463</v>
      </c>
      <c r="D72" s="1">
        <v>43873</v>
      </c>
      <c r="E72" s="2">
        <v>3985</v>
      </c>
      <c r="F72" s="3">
        <v>203.07</v>
      </c>
      <c r="G72" s="3">
        <f t="shared" si="1"/>
        <v>809233.95</v>
      </c>
    </row>
    <row r="73" spans="1:7" x14ac:dyDescent="0.25">
      <c r="A73" t="s">
        <v>506</v>
      </c>
      <c r="B73" t="s">
        <v>399</v>
      </c>
      <c r="C73" t="s">
        <v>463</v>
      </c>
      <c r="D73" s="1">
        <v>43841</v>
      </c>
      <c r="E73" s="2">
        <v>6987</v>
      </c>
      <c r="F73" s="3">
        <v>243.71</v>
      </c>
      <c r="G73" s="3">
        <f t="shared" si="1"/>
        <v>1702801.77</v>
      </c>
    </row>
    <row r="74" spans="1:7" x14ac:dyDescent="0.25">
      <c r="A74" t="s">
        <v>507</v>
      </c>
      <c r="B74" t="s">
        <v>393</v>
      </c>
      <c r="C74" t="s">
        <v>410</v>
      </c>
      <c r="D74" s="1">
        <v>43852</v>
      </c>
      <c r="E74" s="2">
        <v>6718</v>
      </c>
      <c r="F74" s="3">
        <v>87.47</v>
      </c>
      <c r="G74" s="3">
        <f t="shared" si="1"/>
        <v>587623.46</v>
      </c>
    </row>
    <row r="75" spans="1:7" x14ac:dyDescent="0.25">
      <c r="A75" t="s">
        <v>289</v>
      </c>
      <c r="B75" t="s">
        <v>396</v>
      </c>
      <c r="C75" t="s">
        <v>406</v>
      </c>
      <c r="D75" s="1">
        <v>43889</v>
      </c>
      <c r="E75" s="2">
        <v>5957</v>
      </c>
      <c r="F75" s="3">
        <v>375.06</v>
      </c>
      <c r="G75" s="3">
        <f t="shared" si="1"/>
        <v>2234232.42</v>
      </c>
    </row>
    <row r="76" spans="1:7" x14ac:dyDescent="0.25">
      <c r="A76" t="s">
        <v>508</v>
      </c>
      <c r="B76" t="s">
        <v>398</v>
      </c>
      <c r="C76" t="s">
        <v>413</v>
      </c>
      <c r="D76" s="1">
        <v>43881</v>
      </c>
      <c r="E76" s="2">
        <v>7942</v>
      </c>
      <c r="F76" s="10">
        <v>441.63</v>
      </c>
      <c r="G76" s="10">
        <f t="shared" si="1"/>
        <v>3507425.46</v>
      </c>
    </row>
    <row r="77" spans="1:7" x14ac:dyDescent="0.25">
      <c r="A77" t="s">
        <v>509</v>
      </c>
      <c r="B77" t="s">
        <v>397</v>
      </c>
      <c r="C77" t="s">
        <v>408</v>
      </c>
      <c r="D77" s="1">
        <v>43850</v>
      </c>
      <c r="E77" s="2">
        <v>6223</v>
      </c>
      <c r="F77" s="3">
        <v>293.17</v>
      </c>
      <c r="G77" s="3">
        <f t="shared" si="1"/>
        <v>1824396.9100000001</v>
      </c>
    </row>
    <row r="78" spans="1:7" x14ac:dyDescent="0.25">
      <c r="A78" t="s">
        <v>510</v>
      </c>
      <c r="B78" t="s">
        <v>394</v>
      </c>
      <c r="C78" t="s">
        <v>406</v>
      </c>
      <c r="D78" s="1">
        <v>43851</v>
      </c>
      <c r="E78" s="2">
        <v>8829</v>
      </c>
      <c r="F78" s="3">
        <v>76.010000000000005</v>
      </c>
      <c r="G78" s="3">
        <f t="shared" si="1"/>
        <v>671092.29</v>
      </c>
    </row>
    <row r="79" spans="1:7" x14ac:dyDescent="0.25">
      <c r="A79" t="s">
        <v>511</v>
      </c>
      <c r="B79" t="s">
        <v>393</v>
      </c>
      <c r="C79" t="s">
        <v>410</v>
      </c>
      <c r="D79" s="1">
        <v>43867</v>
      </c>
      <c r="E79" s="2">
        <v>5091</v>
      </c>
      <c r="F79" s="3">
        <v>212.5</v>
      </c>
      <c r="G79" s="3">
        <f t="shared" si="1"/>
        <v>1081837.5</v>
      </c>
    </row>
    <row r="80" spans="1:7" x14ac:dyDescent="0.25">
      <c r="A80" t="s">
        <v>512</v>
      </c>
      <c r="B80" t="s">
        <v>397</v>
      </c>
      <c r="C80" t="s">
        <v>401</v>
      </c>
      <c r="D80" s="1">
        <v>43860</v>
      </c>
      <c r="E80" s="2">
        <v>4964</v>
      </c>
      <c r="F80" s="3">
        <v>318.63</v>
      </c>
      <c r="G80" s="3">
        <f t="shared" si="1"/>
        <v>1581679.32</v>
      </c>
    </row>
    <row r="81" spans="1:7" x14ac:dyDescent="0.25">
      <c r="A81" t="s">
        <v>513</v>
      </c>
      <c r="B81" t="s">
        <v>398</v>
      </c>
      <c r="C81" t="s">
        <v>413</v>
      </c>
      <c r="D81" s="1">
        <v>43835</v>
      </c>
      <c r="E81" s="2">
        <v>6000</v>
      </c>
      <c r="F81" s="10">
        <v>143.32</v>
      </c>
      <c r="G81" s="10">
        <f t="shared" si="1"/>
        <v>859920</v>
      </c>
    </row>
    <row r="82" spans="1:7" x14ac:dyDescent="0.25">
      <c r="A82" t="s">
        <v>514</v>
      </c>
      <c r="B82" t="s">
        <v>400</v>
      </c>
      <c r="C82" t="s">
        <v>410</v>
      </c>
      <c r="D82" s="1">
        <v>43868</v>
      </c>
      <c r="E82" s="2">
        <v>7611</v>
      </c>
      <c r="F82" s="3">
        <v>364.75</v>
      </c>
      <c r="G82" s="3">
        <f t="shared" si="1"/>
        <v>2776112.25</v>
      </c>
    </row>
    <row r="83" spans="1:7" x14ac:dyDescent="0.25">
      <c r="A83" t="s">
        <v>515</v>
      </c>
      <c r="B83" t="s">
        <v>393</v>
      </c>
      <c r="C83" t="s">
        <v>406</v>
      </c>
      <c r="D83" s="1">
        <v>43863</v>
      </c>
      <c r="E83" s="2">
        <v>1500</v>
      </c>
      <c r="F83" s="3">
        <v>189.21</v>
      </c>
      <c r="G83" s="3">
        <f t="shared" si="1"/>
        <v>283815</v>
      </c>
    </row>
    <row r="84" spans="1:7" x14ac:dyDescent="0.25">
      <c r="A84" t="s">
        <v>516</v>
      </c>
      <c r="B84" t="s">
        <v>399</v>
      </c>
      <c r="C84" t="s">
        <v>410</v>
      </c>
      <c r="D84" s="1">
        <v>43886</v>
      </c>
      <c r="E84" s="2">
        <v>4464</v>
      </c>
      <c r="F84" s="3">
        <v>276.20999999999998</v>
      </c>
      <c r="G84" s="3">
        <f t="shared" si="1"/>
        <v>1233001.44</v>
      </c>
    </row>
    <row r="85" spans="1:7" x14ac:dyDescent="0.25">
      <c r="A85" t="s">
        <v>169</v>
      </c>
      <c r="B85" t="s">
        <v>393</v>
      </c>
      <c r="C85" t="s">
        <v>407</v>
      </c>
      <c r="D85" s="1">
        <v>43854</v>
      </c>
      <c r="E85" s="2">
        <v>1580</v>
      </c>
      <c r="F85" s="3">
        <v>361.92</v>
      </c>
      <c r="G85" s="3">
        <f t="shared" si="1"/>
        <v>571833.59999999998</v>
      </c>
    </row>
    <row r="86" spans="1:7" x14ac:dyDescent="0.25">
      <c r="A86" t="s">
        <v>517</v>
      </c>
      <c r="B86" t="s">
        <v>393</v>
      </c>
      <c r="C86" t="s">
        <v>463</v>
      </c>
      <c r="D86" s="1">
        <v>43852</v>
      </c>
      <c r="E86" s="2">
        <v>8436</v>
      </c>
      <c r="F86" s="3">
        <v>262.27999999999997</v>
      </c>
      <c r="G86" s="3">
        <f t="shared" si="1"/>
        <v>2212594.0799999996</v>
      </c>
    </row>
    <row r="87" spans="1:7" x14ac:dyDescent="0.25">
      <c r="A87" t="s">
        <v>518</v>
      </c>
      <c r="B87" t="s">
        <v>397</v>
      </c>
      <c r="C87" t="s">
        <v>406</v>
      </c>
      <c r="D87" s="1">
        <v>43867</v>
      </c>
      <c r="E87" s="2">
        <v>5792</v>
      </c>
      <c r="F87" s="3">
        <v>363.68</v>
      </c>
      <c r="G87" s="3">
        <f t="shared" si="1"/>
        <v>2106434.5600000001</v>
      </c>
    </row>
    <row r="88" spans="1:7" x14ac:dyDescent="0.25">
      <c r="A88" t="s">
        <v>519</v>
      </c>
      <c r="B88" t="s">
        <v>398</v>
      </c>
      <c r="C88" t="s">
        <v>410</v>
      </c>
      <c r="D88" s="1">
        <v>43858</v>
      </c>
      <c r="E88" s="2">
        <v>3483</v>
      </c>
      <c r="F88" s="3">
        <v>262.67</v>
      </c>
      <c r="G88" s="3">
        <f t="shared" si="1"/>
        <v>914879.6100000001</v>
      </c>
    </row>
    <row r="89" spans="1:7" x14ac:dyDescent="0.25">
      <c r="A89" t="s">
        <v>520</v>
      </c>
      <c r="B89" t="s">
        <v>396</v>
      </c>
      <c r="C89" t="s">
        <v>406</v>
      </c>
      <c r="D89" s="1">
        <v>43833</v>
      </c>
      <c r="E89" s="2">
        <v>2522</v>
      </c>
      <c r="F89" s="3">
        <v>371.76</v>
      </c>
      <c r="G89" s="3">
        <f t="shared" si="1"/>
        <v>937578.72</v>
      </c>
    </row>
    <row r="90" spans="1:7" x14ac:dyDescent="0.25">
      <c r="A90" t="s">
        <v>521</v>
      </c>
      <c r="B90" t="s">
        <v>394</v>
      </c>
      <c r="C90" t="s">
        <v>407</v>
      </c>
      <c r="D90" s="1">
        <v>43890</v>
      </c>
      <c r="E90" s="2">
        <v>6708</v>
      </c>
      <c r="F90" s="3">
        <v>379.8</v>
      </c>
      <c r="G90" s="3">
        <f t="shared" si="1"/>
        <v>2547698.4</v>
      </c>
    </row>
    <row r="91" spans="1:7" x14ac:dyDescent="0.25">
      <c r="A91" t="s">
        <v>228</v>
      </c>
      <c r="B91" t="s">
        <v>394</v>
      </c>
      <c r="C91" t="s">
        <v>413</v>
      </c>
      <c r="D91" s="1">
        <v>43853</v>
      </c>
      <c r="E91" s="2">
        <v>9657</v>
      </c>
      <c r="F91" s="10">
        <v>413.29</v>
      </c>
      <c r="G91" s="10">
        <f t="shared" si="1"/>
        <v>3991141.5300000003</v>
      </c>
    </row>
    <row r="92" spans="1:7" x14ac:dyDescent="0.25">
      <c r="A92" t="s">
        <v>337</v>
      </c>
      <c r="B92" t="s">
        <v>395</v>
      </c>
      <c r="C92" t="s">
        <v>406</v>
      </c>
      <c r="D92" s="1">
        <v>43879</v>
      </c>
      <c r="E92" s="2">
        <v>7224</v>
      </c>
      <c r="F92" s="3">
        <v>338.29</v>
      </c>
      <c r="G92" s="3">
        <f t="shared" si="1"/>
        <v>2443806.96</v>
      </c>
    </row>
    <row r="93" spans="1:7" x14ac:dyDescent="0.25">
      <c r="A93" t="s">
        <v>320</v>
      </c>
      <c r="B93" t="s">
        <v>400</v>
      </c>
      <c r="C93" t="s">
        <v>406</v>
      </c>
      <c r="D93" s="1">
        <v>43880</v>
      </c>
      <c r="E93" s="2">
        <v>4173</v>
      </c>
      <c r="F93" s="3">
        <v>119.36</v>
      </c>
      <c r="G93" s="3">
        <f t="shared" si="1"/>
        <v>498089.27999999997</v>
      </c>
    </row>
    <row r="94" spans="1:7" x14ac:dyDescent="0.25">
      <c r="A94" t="s">
        <v>522</v>
      </c>
      <c r="B94" t="s">
        <v>393</v>
      </c>
      <c r="C94" t="s">
        <v>408</v>
      </c>
      <c r="D94" s="1">
        <v>43840</v>
      </c>
      <c r="E94" s="2">
        <v>4687</v>
      </c>
      <c r="F94" s="3">
        <v>500.57</v>
      </c>
      <c r="G94" s="3">
        <f t="shared" si="1"/>
        <v>2346171.59</v>
      </c>
    </row>
    <row r="95" spans="1:7" x14ac:dyDescent="0.25">
      <c r="A95" t="s">
        <v>339</v>
      </c>
      <c r="B95" t="s">
        <v>400</v>
      </c>
      <c r="C95" t="s">
        <v>401</v>
      </c>
      <c r="D95" s="1">
        <v>43838</v>
      </c>
      <c r="E95" s="2">
        <v>5047</v>
      </c>
      <c r="F95" s="3">
        <v>50.62</v>
      </c>
      <c r="G95" s="3">
        <f t="shared" si="1"/>
        <v>255479.13999999998</v>
      </c>
    </row>
    <row r="96" spans="1:7" x14ac:dyDescent="0.25">
      <c r="A96" t="s">
        <v>28</v>
      </c>
      <c r="B96" t="s">
        <v>397</v>
      </c>
      <c r="C96" t="s">
        <v>411</v>
      </c>
      <c r="D96" s="1">
        <v>43836</v>
      </c>
      <c r="E96" s="2">
        <v>8793</v>
      </c>
      <c r="F96" s="3">
        <v>183.63</v>
      </c>
      <c r="G96" s="3">
        <f t="shared" si="1"/>
        <v>1614658.5899999999</v>
      </c>
    </row>
    <row r="97" spans="1:7" x14ac:dyDescent="0.25">
      <c r="A97" t="s">
        <v>523</v>
      </c>
      <c r="B97" t="s">
        <v>398</v>
      </c>
      <c r="C97" t="s">
        <v>463</v>
      </c>
      <c r="D97" s="1">
        <v>43856</v>
      </c>
      <c r="E97" s="2">
        <v>5160</v>
      </c>
      <c r="F97" s="3">
        <v>360.62</v>
      </c>
      <c r="G97" s="3">
        <f t="shared" si="1"/>
        <v>1860799.2</v>
      </c>
    </row>
    <row r="98" spans="1:7" x14ac:dyDescent="0.25">
      <c r="A98" t="s">
        <v>340</v>
      </c>
      <c r="B98" t="s">
        <v>399</v>
      </c>
      <c r="C98" t="s">
        <v>410</v>
      </c>
      <c r="D98" s="1">
        <v>43886</v>
      </c>
      <c r="E98" s="2">
        <v>1895</v>
      </c>
      <c r="F98" s="3">
        <v>290.76</v>
      </c>
      <c r="G98" s="3">
        <f t="shared" si="1"/>
        <v>550990.19999999995</v>
      </c>
    </row>
    <row r="99" spans="1:7" x14ac:dyDescent="0.25">
      <c r="A99" t="s">
        <v>43</v>
      </c>
      <c r="B99" t="s">
        <v>396</v>
      </c>
      <c r="C99" t="s">
        <v>413</v>
      </c>
      <c r="D99" s="1">
        <v>43840</v>
      </c>
      <c r="E99" s="2">
        <v>736</v>
      </c>
      <c r="F99" s="10">
        <v>270.25</v>
      </c>
      <c r="G99" s="10">
        <f t="shared" si="1"/>
        <v>198904</v>
      </c>
    </row>
    <row r="100" spans="1:7" x14ac:dyDescent="0.25">
      <c r="A100" t="s">
        <v>524</v>
      </c>
      <c r="B100" t="s">
        <v>393</v>
      </c>
      <c r="C100" t="s">
        <v>463</v>
      </c>
      <c r="D100" s="1">
        <v>43843</v>
      </c>
      <c r="E100" s="2">
        <v>1555</v>
      </c>
      <c r="F100" s="3">
        <v>383.98</v>
      </c>
      <c r="G100" s="3">
        <f t="shared" si="1"/>
        <v>597088.9</v>
      </c>
    </row>
    <row r="101" spans="1:7" x14ac:dyDescent="0.25">
      <c r="A101" t="s">
        <v>525</v>
      </c>
      <c r="B101" t="s">
        <v>397</v>
      </c>
      <c r="C101" t="s">
        <v>411</v>
      </c>
      <c r="D101" s="1">
        <v>43845</v>
      </c>
      <c r="E101" s="2">
        <v>4482</v>
      </c>
      <c r="F101" s="3">
        <v>264.01</v>
      </c>
      <c r="G101" s="3">
        <f t="shared" si="1"/>
        <v>1183292.82</v>
      </c>
    </row>
    <row r="102" spans="1:7" x14ac:dyDescent="0.25">
      <c r="A102" t="s">
        <v>46</v>
      </c>
      <c r="B102" t="s">
        <v>399</v>
      </c>
      <c r="C102" t="s">
        <v>408</v>
      </c>
      <c r="D102" s="1">
        <v>43833</v>
      </c>
      <c r="E102" s="2">
        <v>3272</v>
      </c>
      <c r="F102" s="3">
        <v>436.83</v>
      </c>
      <c r="G102" s="3">
        <f t="shared" si="1"/>
        <v>1429307.76</v>
      </c>
    </row>
    <row r="103" spans="1:7" x14ac:dyDescent="0.25">
      <c r="A103" t="s">
        <v>526</v>
      </c>
      <c r="B103" t="s">
        <v>399</v>
      </c>
      <c r="C103" t="s">
        <v>413</v>
      </c>
      <c r="D103" s="1">
        <v>43883</v>
      </c>
      <c r="E103" s="2">
        <v>6479</v>
      </c>
      <c r="F103" s="10">
        <v>414.35</v>
      </c>
      <c r="G103" s="10">
        <f t="shared" si="1"/>
        <v>2684573.6500000004</v>
      </c>
    </row>
    <row r="104" spans="1:7" x14ac:dyDescent="0.25">
      <c r="A104" t="s">
        <v>380</v>
      </c>
      <c r="B104" t="s">
        <v>396</v>
      </c>
      <c r="C104" t="s">
        <v>410</v>
      </c>
      <c r="D104" s="1">
        <v>43865</v>
      </c>
      <c r="E104" s="2">
        <v>1156</v>
      </c>
      <c r="F104" s="3">
        <v>425.57</v>
      </c>
      <c r="G104" s="3">
        <f t="shared" si="1"/>
        <v>491958.92</v>
      </c>
    </row>
    <row r="105" spans="1:7" x14ac:dyDescent="0.25">
      <c r="A105" t="s">
        <v>527</v>
      </c>
      <c r="B105" t="s">
        <v>393</v>
      </c>
      <c r="C105" t="s">
        <v>408</v>
      </c>
      <c r="D105" s="1">
        <v>43861</v>
      </c>
      <c r="E105" s="2">
        <v>4269</v>
      </c>
      <c r="F105" s="3">
        <v>251.74</v>
      </c>
      <c r="G105" s="3">
        <f t="shared" si="1"/>
        <v>1074678.06</v>
      </c>
    </row>
    <row r="106" spans="1:7" x14ac:dyDescent="0.25">
      <c r="A106" t="s">
        <v>238</v>
      </c>
      <c r="B106" t="s">
        <v>400</v>
      </c>
      <c r="C106" t="s">
        <v>410</v>
      </c>
      <c r="D106" s="1">
        <v>43887</v>
      </c>
      <c r="E106" s="2">
        <v>2941</v>
      </c>
      <c r="F106" s="3">
        <v>332.88</v>
      </c>
      <c r="G106" s="3">
        <f t="shared" si="1"/>
        <v>979000.08</v>
      </c>
    </row>
    <row r="107" spans="1:7" x14ac:dyDescent="0.25">
      <c r="A107" t="s">
        <v>109</v>
      </c>
      <c r="B107" t="s">
        <v>394</v>
      </c>
      <c r="C107" t="s">
        <v>401</v>
      </c>
      <c r="D107" s="1">
        <v>43889</v>
      </c>
      <c r="E107" s="2">
        <v>5210</v>
      </c>
      <c r="F107" s="3">
        <v>228.1</v>
      </c>
      <c r="G107" s="3">
        <f t="shared" si="1"/>
        <v>1188401</v>
      </c>
    </row>
    <row r="108" spans="1:7" x14ac:dyDescent="0.25">
      <c r="A108" t="s">
        <v>528</v>
      </c>
      <c r="B108" t="s">
        <v>394</v>
      </c>
      <c r="C108" t="s">
        <v>463</v>
      </c>
      <c r="D108" s="1">
        <v>43834</v>
      </c>
      <c r="E108" s="2">
        <v>205</v>
      </c>
      <c r="F108" s="3">
        <v>476.56</v>
      </c>
      <c r="G108" s="3">
        <f t="shared" si="1"/>
        <v>97694.8</v>
      </c>
    </row>
    <row r="109" spans="1:7" x14ac:dyDescent="0.25">
      <c r="A109" t="s">
        <v>303</v>
      </c>
      <c r="B109" t="s">
        <v>396</v>
      </c>
      <c r="C109" t="s">
        <v>401</v>
      </c>
      <c r="D109" s="1">
        <v>43835</v>
      </c>
      <c r="E109" s="2">
        <v>9330</v>
      </c>
      <c r="F109" s="3">
        <v>251.3</v>
      </c>
      <c r="G109" s="3">
        <f t="shared" si="1"/>
        <v>2344629</v>
      </c>
    </row>
    <row r="110" spans="1:7" x14ac:dyDescent="0.25">
      <c r="A110" t="s">
        <v>185</v>
      </c>
      <c r="B110" t="s">
        <v>394</v>
      </c>
      <c r="C110" t="s">
        <v>463</v>
      </c>
      <c r="D110" s="1">
        <v>43831</v>
      </c>
      <c r="E110" s="2">
        <v>2264</v>
      </c>
      <c r="F110" s="3">
        <v>432.55</v>
      </c>
      <c r="G110" s="3">
        <f t="shared" si="1"/>
        <v>979293.20000000007</v>
      </c>
    </row>
    <row r="111" spans="1:7" x14ac:dyDescent="0.25">
      <c r="A111" t="s">
        <v>529</v>
      </c>
      <c r="B111" t="s">
        <v>399</v>
      </c>
      <c r="C111" t="s">
        <v>401</v>
      </c>
      <c r="D111" s="1">
        <v>43831</v>
      </c>
      <c r="E111" s="2">
        <v>8995</v>
      </c>
      <c r="F111" s="3">
        <v>142.87</v>
      </c>
      <c r="G111" s="3">
        <f t="shared" si="1"/>
        <v>1285115.6500000001</v>
      </c>
    </row>
    <row r="112" spans="1:7" x14ac:dyDescent="0.25">
      <c r="A112" t="s">
        <v>530</v>
      </c>
      <c r="B112" t="s">
        <v>397</v>
      </c>
      <c r="C112" t="s">
        <v>407</v>
      </c>
      <c r="D112" s="1">
        <v>43836</v>
      </c>
      <c r="E112" s="2">
        <v>7503</v>
      </c>
      <c r="F112" s="3">
        <v>434.75</v>
      </c>
      <c r="G112" s="3">
        <f t="shared" si="1"/>
        <v>3261929.25</v>
      </c>
    </row>
    <row r="113" spans="1:7" x14ac:dyDescent="0.25">
      <c r="A113" t="s">
        <v>194</v>
      </c>
      <c r="B113" t="s">
        <v>394</v>
      </c>
      <c r="C113" t="s">
        <v>407</v>
      </c>
      <c r="D113" s="1">
        <v>43877</v>
      </c>
      <c r="E113" s="2">
        <v>969</v>
      </c>
      <c r="F113" s="3">
        <v>215.37</v>
      </c>
      <c r="G113" s="3">
        <f t="shared" si="1"/>
        <v>208693.53</v>
      </c>
    </row>
    <row r="114" spans="1:7" x14ac:dyDescent="0.25">
      <c r="A114" t="s">
        <v>531</v>
      </c>
      <c r="B114" t="s">
        <v>394</v>
      </c>
      <c r="C114" t="s">
        <v>410</v>
      </c>
      <c r="D114" s="1">
        <v>43870</v>
      </c>
      <c r="E114" s="2">
        <v>9140</v>
      </c>
      <c r="F114" s="3">
        <v>331.39</v>
      </c>
      <c r="G114" s="3">
        <f t="shared" si="1"/>
        <v>3028904.6</v>
      </c>
    </row>
    <row r="115" spans="1:7" x14ac:dyDescent="0.25">
      <c r="A115" t="s">
        <v>532</v>
      </c>
      <c r="B115" t="s">
        <v>393</v>
      </c>
      <c r="C115" t="s">
        <v>401</v>
      </c>
      <c r="D115" s="1">
        <v>43860</v>
      </c>
      <c r="E115" s="2">
        <v>9521</v>
      </c>
      <c r="F115" s="3">
        <v>172.8</v>
      </c>
      <c r="G115" s="3">
        <f t="shared" si="1"/>
        <v>1645228.8</v>
      </c>
    </row>
    <row r="116" spans="1:7" x14ac:dyDescent="0.25">
      <c r="A116" t="s">
        <v>533</v>
      </c>
      <c r="B116" t="s">
        <v>393</v>
      </c>
      <c r="C116" t="s">
        <v>413</v>
      </c>
      <c r="D116" s="1">
        <v>43837</v>
      </c>
      <c r="E116" s="2">
        <v>1747</v>
      </c>
      <c r="F116" s="10">
        <v>252.43</v>
      </c>
      <c r="G116" s="10">
        <f t="shared" si="1"/>
        <v>440995.21</v>
      </c>
    </row>
    <row r="117" spans="1:7" x14ac:dyDescent="0.25">
      <c r="A117" t="s">
        <v>534</v>
      </c>
      <c r="B117" t="s">
        <v>393</v>
      </c>
      <c r="C117" t="s">
        <v>411</v>
      </c>
      <c r="D117" s="1">
        <v>43870</v>
      </c>
      <c r="E117" s="2">
        <v>8267</v>
      </c>
      <c r="F117" s="3">
        <v>223.91</v>
      </c>
      <c r="G117" s="3">
        <f t="shared" si="1"/>
        <v>1851063.97</v>
      </c>
    </row>
    <row r="118" spans="1:7" x14ac:dyDescent="0.25">
      <c r="A118" t="s">
        <v>37</v>
      </c>
      <c r="B118" t="s">
        <v>395</v>
      </c>
      <c r="C118" t="s">
        <v>401</v>
      </c>
      <c r="D118" s="1">
        <v>43868</v>
      </c>
      <c r="E118" s="2">
        <v>4175</v>
      </c>
      <c r="F118" s="3">
        <v>438.34</v>
      </c>
      <c r="G118" s="3">
        <f t="shared" si="1"/>
        <v>1830069.5</v>
      </c>
    </row>
    <row r="119" spans="1:7" x14ac:dyDescent="0.25">
      <c r="A119" t="s">
        <v>535</v>
      </c>
      <c r="B119" t="s">
        <v>397</v>
      </c>
      <c r="C119" t="s">
        <v>410</v>
      </c>
      <c r="D119" s="1">
        <v>43873</v>
      </c>
      <c r="E119" s="2">
        <v>3368</v>
      </c>
      <c r="F119" s="3">
        <v>445.47</v>
      </c>
      <c r="G119" s="3">
        <f t="shared" si="1"/>
        <v>1500342.9600000002</v>
      </c>
    </row>
    <row r="120" spans="1:7" x14ac:dyDescent="0.25">
      <c r="A120" t="s">
        <v>536</v>
      </c>
      <c r="B120" t="s">
        <v>398</v>
      </c>
      <c r="C120" t="s">
        <v>410</v>
      </c>
      <c r="D120" s="1">
        <v>43881</v>
      </c>
      <c r="E120" s="2">
        <v>8848</v>
      </c>
      <c r="F120" s="3">
        <v>457.36</v>
      </c>
      <c r="G120" s="3">
        <f t="shared" si="1"/>
        <v>4046721.2800000003</v>
      </c>
    </row>
    <row r="121" spans="1:7" x14ac:dyDescent="0.25">
      <c r="A121" t="s">
        <v>537</v>
      </c>
      <c r="B121" t="s">
        <v>394</v>
      </c>
      <c r="C121" t="s">
        <v>413</v>
      </c>
      <c r="D121" s="1">
        <v>43880</v>
      </c>
      <c r="E121" s="2">
        <v>696</v>
      </c>
      <c r="F121" s="10">
        <v>468.07</v>
      </c>
      <c r="G121" s="10">
        <f t="shared" si="1"/>
        <v>325776.71999999997</v>
      </c>
    </row>
    <row r="122" spans="1:7" x14ac:dyDescent="0.25">
      <c r="A122" t="s">
        <v>538</v>
      </c>
      <c r="B122" t="s">
        <v>397</v>
      </c>
      <c r="C122" t="s">
        <v>408</v>
      </c>
      <c r="D122" s="1">
        <v>43858</v>
      </c>
      <c r="E122" s="2">
        <v>9888</v>
      </c>
      <c r="F122" s="3">
        <v>439.58</v>
      </c>
      <c r="G122" s="3">
        <f t="shared" si="1"/>
        <v>4346567.04</v>
      </c>
    </row>
    <row r="123" spans="1:7" x14ac:dyDescent="0.25">
      <c r="A123" t="s">
        <v>539</v>
      </c>
      <c r="B123" t="s">
        <v>393</v>
      </c>
      <c r="C123" t="s">
        <v>407</v>
      </c>
      <c r="D123" s="1">
        <v>43836</v>
      </c>
      <c r="E123" s="2">
        <v>1736</v>
      </c>
      <c r="F123" s="3">
        <v>87.28</v>
      </c>
      <c r="G123" s="3">
        <f t="shared" si="1"/>
        <v>151518.08000000002</v>
      </c>
    </row>
    <row r="124" spans="1:7" x14ac:dyDescent="0.25">
      <c r="A124" t="s">
        <v>135</v>
      </c>
      <c r="B124" t="s">
        <v>400</v>
      </c>
      <c r="C124" t="s">
        <v>413</v>
      </c>
      <c r="D124" s="1">
        <v>43858</v>
      </c>
      <c r="E124" s="2">
        <v>9518</v>
      </c>
      <c r="F124" s="10">
        <v>310.81</v>
      </c>
      <c r="G124" s="10">
        <f t="shared" si="1"/>
        <v>2958289.58</v>
      </c>
    </row>
    <row r="125" spans="1:7" x14ac:dyDescent="0.25">
      <c r="A125" t="s">
        <v>540</v>
      </c>
      <c r="B125" t="s">
        <v>396</v>
      </c>
      <c r="C125" t="s">
        <v>407</v>
      </c>
      <c r="D125" s="1">
        <v>43839</v>
      </c>
      <c r="E125" s="2">
        <v>941</v>
      </c>
      <c r="F125" s="3">
        <v>385.16</v>
      </c>
      <c r="G125" s="3">
        <f t="shared" si="1"/>
        <v>362435.56</v>
      </c>
    </row>
    <row r="126" spans="1:7" x14ac:dyDescent="0.25">
      <c r="A126" t="s">
        <v>222</v>
      </c>
      <c r="B126" t="s">
        <v>398</v>
      </c>
      <c r="C126" t="s">
        <v>408</v>
      </c>
      <c r="D126" s="1">
        <v>43881</v>
      </c>
      <c r="E126" s="2">
        <v>7715</v>
      </c>
      <c r="F126" s="3">
        <v>233.46</v>
      </c>
      <c r="G126" s="3">
        <f t="shared" si="1"/>
        <v>1801143.9000000001</v>
      </c>
    </row>
    <row r="127" spans="1:7" x14ac:dyDescent="0.25">
      <c r="A127" t="s">
        <v>541</v>
      </c>
      <c r="B127" t="s">
        <v>399</v>
      </c>
      <c r="C127" t="s">
        <v>406</v>
      </c>
      <c r="D127" s="1">
        <v>43840</v>
      </c>
      <c r="E127" s="2">
        <v>736</v>
      </c>
      <c r="F127" s="3">
        <v>473.31</v>
      </c>
      <c r="G127" s="3">
        <f t="shared" si="1"/>
        <v>348356.16</v>
      </c>
    </row>
    <row r="128" spans="1:7" x14ac:dyDescent="0.25">
      <c r="A128" t="s">
        <v>542</v>
      </c>
      <c r="B128" t="s">
        <v>399</v>
      </c>
      <c r="C128" t="s">
        <v>411</v>
      </c>
      <c r="D128" s="1">
        <v>43856</v>
      </c>
      <c r="E128" s="2">
        <v>6216</v>
      </c>
      <c r="F128" s="3">
        <v>496.81</v>
      </c>
      <c r="G128" s="3">
        <f t="shared" si="1"/>
        <v>3088170.96</v>
      </c>
    </row>
    <row r="129" spans="1:7" x14ac:dyDescent="0.25">
      <c r="A129" t="s">
        <v>543</v>
      </c>
      <c r="B129" t="s">
        <v>400</v>
      </c>
      <c r="C129" t="s">
        <v>406</v>
      </c>
      <c r="D129" s="1">
        <v>43832</v>
      </c>
      <c r="E129" s="2">
        <v>6273</v>
      </c>
      <c r="F129" s="3">
        <v>231.26</v>
      </c>
      <c r="G129" s="3">
        <f t="shared" si="1"/>
        <v>1450693.98</v>
      </c>
    </row>
    <row r="130" spans="1:7" x14ac:dyDescent="0.25">
      <c r="A130" t="s">
        <v>544</v>
      </c>
      <c r="B130" t="s">
        <v>396</v>
      </c>
      <c r="C130" t="s">
        <v>406</v>
      </c>
      <c r="D130" s="1">
        <v>43874</v>
      </c>
      <c r="E130" s="2">
        <v>5713</v>
      </c>
      <c r="F130" s="3">
        <v>495.8</v>
      </c>
      <c r="G130" s="3">
        <f t="shared" si="1"/>
        <v>2832505.4</v>
      </c>
    </row>
    <row r="131" spans="1:7" x14ac:dyDescent="0.25">
      <c r="A131" t="s">
        <v>545</v>
      </c>
      <c r="B131" t="s">
        <v>396</v>
      </c>
      <c r="C131" t="s">
        <v>406</v>
      </c>
      <c r="D131" s="1">
        <v>43885</v>
      </c>
      <c r="E131" s="2">
        <v>4193</v>
      </c>
      <c r="F131" s="3">
        <v>298.8</v>
      </c>
      <c r="G131" s="3">
        <f t="shared" ref="G131:G194" si="2">E131*F131</f>
        <v>1252868.4000000001</v>
      </c>
    </row>
    <row r="132" spans="1:7" x14ac:dyDescent="0.25">
      <c r="A132" t="s">
        <v>546</v>
      </c>
      <c r="B132" t="s">
        <v>395</v>
      </c>
      <c r="C132" t="s">
        <v>463</v>
      </c>
      <c r="D132" s="1">
        <v>43873</v>
      </c>
      <c r="E132" s="2">
        <v>4001</v>
      </c>
      <c r="F132" s="3">
        <v>138.15</v>
      </c>
      <c r="G132" s="3">
        <f t="shared" si="2"/>
        <v>552738.15</v>
      </c>
    </row>
    <row r="133" spans="1:7" x14ac:dyDescent="0.25">
      <c r="A133" t="s">
        <v>547</v>
      </c>
      <c r="B133" t="s">
        <v>393</v>
      </c>
      <c r="C133" t="s">
        <v>408</v>
      </c>
      <c r="D133" s="1">
        <v>43841</v>
      </c>
      <c r="E133" s="2">
        <v>7375</v>
      </c>
      <c r="F133" s="3">
        <v>111.51</v>
      </c>
      <c r="G133" s="3">
        <f t="shared" si="2"/>
        <v>822386.25</v>
      </c>
    </row>
    <row r="134" spans="1:7" x14ac:dyDescent="0.25">
      <c r="A134" t="s">
        <v>548</v>
      </c>
      <c r="B134" t="s">
        <v>396</v>
      </c>
      <c r="C134" t="s">
        <v>407</v>
      </c>
      <c r="D134" s="1">
        <v>43880</v>
      </c>
      <c r="E134" s="2">
        <v>8269</v>
      </c>
      <c r="F134" s="3">
        <v>208.09</v>
      </c>
      <c r="G134" s="3">
        <f t="shared" si="2"/>
        <v>1720696.21</v>
      </c>
    </row>
    <row r="135" spans="1:7" x14ac:dyDescent="0.25">
      <c r="A135" t="s">
        <v>549</v>
      </c>
      <c r="B135" t="s">
        <v>393</v>
      </c>
      <c r="C135" t="s">
        <v>407</v>
      </c>
      <c r="D135" s="1">
        <v>43867</v>
      </c>
      <c r="E135" s="2">
        <v>5164</v>
      </c>
      <c r="F135" s="3">
        <v>129.44999999999999</v>
      </c>
      <c r="G135" s="3">
        <f t="shared" si="2"/>
        <v>668479.79999999993</v>
      </c>
    </row>
    <row r="136" spans="1:7" x14ac:dyDescent="0.25">
      <c r="A136" t="s">
        <v>550</v>
      </c>
      <c r="B136" t="s">
        <v>398</v>
      </c>
      <c r="C136" t="s">
        <v>408</v>
      </c>
      <c r="D136" s="1">
        <v>43886</v>
      </c>
      <c r="E136" s="2">
        <v>4896</v>
      </c>
      <c r="F136" s="3">
        <v>490.82</v>
      </c>
      <c r="G136" s="3">
        <f t="shared" si="2"/>
        <v>2403054.7199999997</v>
      </c>
    </row>
    <row r="137" spans="1:7" x14ac:dyDescent="0.25">
      <c r="A137" t="s">
        <v>318</v>
      </c>
      <c r="B137" t="s">
        <v>398</v>
      </c>
      <c r="C137" t="s">
        <v>411</v>
      </c>
      <c r="D137" s="1">
        <v>43879</v>
      </c>
      <c r="E137" s="2">
        <v>3815</v>
      </c>
      <c r="F137" s="3">
        <v>437.95</v>
      </c>
      <c r="G137" s="3">
        <f t="shared" si="2"/>
        <v>1670779.25</v>
      </c>
    </row>
    <row r="138" spans="1:7" x14ac:dyDescent="0.25">
      <c r="A138" t="s">
        <v>551</v>
      </c>
      <c r="B138" t="s">
        <v>396</v>
      </c>
      <c r="C138" t="s">
        <v>412</v>
      </c>
      <c r="D138" s="1">
        <v>43858</v>
      </c>
      <c r="E138" s="2">
        <v>7431</v>
      </c>
      <c r="F138" s="3">
        <v>133.69999999999999</v>
      </c>
      <c r="G138" s="3">
        <f t="shared" si="2"/>
        <v>993524.7</v>
      </c>
    </row>
    <row r="139" spans="1:7" x14ac:dyDescent="0.25">
      <c r="A139" t="s">
        <v>552</v>
      </c>
      <c r="B139" t="s">
        <v>397</v>
      </c>
      <c r="C139" t="s">
        <v>407</v>
      </c>
      <c r="D139" s="1">
        <v>43858</v>
      </c>
      <c r="E139" s="2">
        <v>5894</v>
      </c>
      <c r="F139" s="3">
        <v>149.13</v>
      </c>
      <c r="G139" s="3">
        <f t="shared" si="2"/>
        <v>878972.22</v>
      </c>
    </row>
    <row r="140" spans="1:7" x14ac:dyDescent="0.25">
      <c r="A140" t="s">
        <v>553</v>
      </c>
      <c r="B140" t="s">
        <v>394</v>
      </c>
      <c r="C140" t="s">
        <v>411</v>
      </c>
      <c r="D140" s="1">
        <v>43889</v>
      </c>
      <c r="E140" s="2">
        <v>4039</v>
      </c>
      <c r="F140" s="3">
        <v>125.83</v>
      </c>
      <c r="G140" s="3">
        <f t="shared" si="2"/>
        <v>508227.37</v>
      </c>
    </row>
    <row r="141" spans="1:7" x14ac:dyDescent="0.25">
      <c r="A141" t="s">
        <v>554</v>
      </c>
      <c r="B141" t="s">
        <v>398</v>
      </c>
      <c r="C141" t="s">
        <v>408</v>
      </c>
      <c r="D141" s="1">
        <v>43886</v>
      </c>
      <c r="E141" s="2">
        <v>6082</v>
      </c>
      <c r="F141" s="3">
        <v>305.88</v>
      </c>
      <c r="G141" s="3">
        <f t="shared" si="2"/>
        <v>1860362.16</v>
      </c>
    </row>
    <row r="142" spans="1:7" x14ac:dyDescent="0.25">
      <c r="A142" t="s">
        <v>555</v>
      </c>
      <c r="B142" t="s">
        <v>397</v>
      </c>
      <c r="C142" t="s">
        <v>411</v>
      </c>
      <c r="D142" s="1">
        <v>43836</v>
      </c>
      <c r="E142" s="2">
        <v>1565</v>
      </c>
      <c r="F142" s="3">
        <v>69.83</v>
      </c>
      <c r="G142" s="3">
        <f t="shared" si="2"/>
        <v>109283.95</v>
      </c>
    </row>
    <row r="143" spans="1:7" x14ac:dyDescent="0.25">
      <c r="A143" t="s">
        <v>177</v>
      </c>
      <c r="B143" t="s">
        <v>400</v>
      </c>
      <c r="C143" t="s">
        <v>401</v>
      </c>
      <c r="D143" s="1">
        <v>43862</v>
      </c>
      <c r="E143" s="2">
        <v>2804</v>
      </c>
      <c r="F143" s="3">
        <v>61.39</v>
      </c>
      <c r="G143" s="3">
        <f t="shared" si="2"/>
        <v>172137.56</v>
      </c>
    </row>
    <row r="144" spans="1:7" x14ac:dyDescent="0.25">
      <c r="A144" t="s">
        <v>253</v>
      </c>
      <c r="B144" t="s">
        <v>397</v>
      </c>
      <c r="C144" t="s">
        <v>407</v>
      </c>
      <c r="D144" s="1">
        <v>43876</v>
      </c>
      <c r="E144" s="2">
        <v>1340</v>
      </c>
      <c r="F144" s="3">
        <v>322.45</v>
      </c>
      <c r="G144" s="3">
        <f t="shared" si="2"/>
        <v>432083</v>
      </c>
    </row>
    <row r="145" spans="1:7" x14ac:dyDescent="0.25">
      <c r="A145" t="s">
        <v>186</v>
      </c>
      <c r="B145" t="s">
        <v>393</v>
      </c>
      <c r="C145" t="s">
        <v>412</v>
      </c>
      <c r="D145" s="1">
        <v>43888</v>
      </c>
      <c r="E145" s="2">
        <v>1219</v>
      </c>
      <c r="F145" s="3">
        <v>448.37</v>
      </c>
      <c r="G145" s="3">
        <f t="shared" si="2"/>
        <v>546563.03</v>
      </c>
    </row>
    <row r="146" spans="1:7" x14ac:dyDescent="0.25">
      <c r="A146" t="s">
        <v>556</v>
      </c>
      <c r="B146" t="s">
        <v>400</v>
      </c>
      <c r="C146" t="s">
        <v>407</v>
      </c>
      <c r="D146" s="1">
        <v>43840</v>
      </c>
      <c r="E146" s="2">
        <v>622</v>
      </c>
      <c r="F146" s="3">
        <v>366.76</v>
      </c>
      <c r="G146" s="3">
        <f t="shared" si="2"/>
        <v>228124.72</v>
      </c>
    </row>
    <row r="147" spans="1:7" x14ac:dyDescent="0.25">
      <c r="A147" t="s">
        <v>557</v>
      </c>
      <c r="B147" t="s">
        <v>397</v>
      </c>
      <c r="C147" t="s">
        <v>410</v>
      </c>
      <c r="D147" s="1">
        <v>43831</v>
      </c>
      <c r="E147" s="2">
        <v>8813</v>
      </c>
      <c r="F147" s="3">
        <v>120.82</v>
      </c>
      <c r="G147" s="3">
        <f t="shared" si="2"/>
        <v>1064786.6599999999</v>
      </c>
    </row>
    <row r="148" spans="1:7" x14ac:dyDescent="0.25">
      <c r="A148" t="s">
        <v>558</v>
      </c>
      <c r="B148" t="s">
        <v>393</v>
      </c>
      <c r="C148" t="s">
        <v>412</v>
      </c>
      <c r="D148" s="1">
        <v>43883</v>
      </c>
      <c r="E148" s="2">
        <v>7828</v>
      </c>
      <c r="F148" s="3">
        <v>405.19</v>
      </c>
      <c r="G148" s="3">
        <f t="shared" si="2"/>
        <v>3171827.32</v>
      </c>
    </row>
    <row r="149" spans="1:7" x14ac:dyDescent="0.25">
      <c r="A149" t="s">
        <v>306</v>
      </c>
      <c r="B149" t="s">
        <v>399</v>
      </c>
      <c r="C149" t="s">
        <v>463</v>
      </c>
      <c r="D149" s="1">
        <v>43862</v>
      </c>
      <c r="E149" s="2">
        <v>5786</v>
      </c>
      <c r="F149" s="3">
        <v>424.5</v>
      </c>
      <c r="G149" s="3">
        <f t="shared" si="2"/>
        <v>2456157</v>
      </c>
    </row>
    <row r="150" spans="1:7" x14ac:dyDescent="0.25">
      <c r="A150" t="s">
        <v>200</v>
      </c>
      <c r="B150" t="s">
        <v>394</v>
      </c>
      <c r="C150" t="s">
        <v>407</v>
      </c>
      <c r="D150" s="1">
        <v>43841</v>
      </c>
      <c r="E150" s="2">
        <v>8353</v>
      </c>
      <c r="F150" s="3">
        <v>375.64</v>
      </c>
      <c r="G150" s="3">
        <f t="shared" si="2"/>
        <v>3137720.92</v>
      </c>
    </row>
    <row r="151" spans="1:7" x14ac:dyDescent="0.25">
      <c r="A151" t="s">
        <v>559</v>
      </c>
      <c r="B151" t="s">
        <v>399</v>
      </c>
      <c r="C151" t="s">
        <v>401</v>
      </c>
      <c r="D151" s="1">
        <v>43836</v>
      </c>
      <c r="E151" s="2">
        <v>1817</v>
      </c>
      <c r="F151" s="3">
        <v>405.02</v>
      </c>
      <c r="G151" s="3">
        <f t="shared" si="2"/>
        <v>735921.34</v>
      </c>
    </row>
    <row r="152" spans="1:7" x14ac:dyDescent="0.25">
      <c r="A152" t="s">
        <v>128</v>
      </c>
      <c r="B152" t="s">
        <v>393</v>
      </c>
      <c r="C152" t="s">
        <v>408</v>
      </c>
      <c r="D152" s="1">
        <v>43834</v>
      </c>
      <c r="E152" s="2">
        <v>8573</v>
      </c>
      <c r="F152" s="3">
        <v>307.33</v>
      </c>
      <c r="G152" s="3">
        <f t="shared" si="2"/>
        <v>2634740.09</v>
      </c>
    </row>
    <row r="153" spans="1:7" x14ac:dyDescent="0.25">
      <c r="A153" t="s">
        <v>560</v>
      </c>
      <c r="B153" t="s">
        <v>396</v>
      </c>
      <c r="C153" t="s">
        <v>410</v>
      </c>
      <c r="D153" s="1">
        <v>43874</v>
      </c>
      <c r="E153" s="2">
        <v>8307</v>
      </c>
      <c r="F153" s="3">
        <v>393.11</v>
      </c>
      <c r="G153" s="3">
        <f t="shared" si="2"/>
        <v>3265564.77</v>
      </c>
    </row>
    <row r="154" spans="1:7" x14ac:dyDescent="0.25">
      <c r="A154" t="s">
        <v>561</v>
      </c>
      <c r="B154" t="s">
        <v>400</v>
      </c>
      <c r="C154" t="s">
        <v>401</v>
      </c>
      <c r="D154" s="1">
        <v>43852</v>
      </c>
      <c r="E154" s="2">
        <v>6898</v>
      </c>
      <c r="F154" s="3">
        <v>432.33</v>
      </c>
      <c r="G154" s="3">
        <f t="shared" si="2"/>
        <v>2982212.34</v>
      </c>
    </row>
    <row r="155" spans="1:7" x14ac:dyDescent="0.25">
      <c r="A155" t="s">
        <v>120</v>
      </c>
      <c r="B155" t="s">
        <v>397</v>
      </c>
      <c r="C155" t="s">
        <v>406</v>
      </c>
      <c r="D155" s="1">
        <v>43889</v>
      </c>
      <c r="E155" s="2">
        <v>2812</v>
      </c>
      <c r="F155" s="3">
        <v>156.66999999999999</v>
      </c>
      <c r="G155" s="3">
        <f t="shared" si="2"/>
        <v>440556.04</v>
      </c>
    </row>
    <row r="156" spans="1:7" x14ac:dyDescent="0.25">
      <c r="A156" t="s">
        <v>562</v>
      </c>
      <c r="B156" t="s">
        <v>398</v>
      </c>
      <c r="C156" t="s">
        <v>413</v>
      </c>
      <c r="D156" s="1">
        <v>43870</v>
      </c>
      <c r="E156" s="2">
        <v>9373</v>
      </c>
      <c r="F156" s="10">
        <v>140.78</v>
      </c>
      <c r="G156" s="10">
        <f t="shared" si="2"/>
        <v>1319530.94</v>
      </c>
    </row>
    <row r="157" spans="1:7" x14ac:dyDescent="0.25">
      <c r="A157" t="s">
        <v>263</v>
      </c>
      <c r="B157" t="s">
        <v>395</v>
      </c>
      <c r="C157" t="s">
        <v>412</v>
      </c>
      <c r="D157" s="1">
        <v>43851</v>
      </c>
      <c r="E157" s="2">
        <v>7561</v>
      </c>
      <c r="F157" s="3">
        <v>234.32</v>
      </c>
      <c r="G157" s="3">
        <f t="shared" si="2"/>
        <v>1771693.52</v>
      </c>
    </row>
    <row r="158" spans="1:7" x14ac:dyDescent="0.25">
      <c r="A158" t="s">
        <v>563</v>
      </c>
      <c r="B158" t="s">
        <v>396</v>
      </c>
      <c r="C158" t="s">
        <v>463</v>
      </c>
      <c r="D158" s="1">
        <v>43840</v>
      </c>
      <c r="E158" s="2">
        <v>4410</v>
      </c>
      <c r="F158" s="3">
        <v>224.64</v>
      </c>
      <c r="G158" s="3">
        <f t="shared" si="2"/>
        <v>990662.39999999991</v>
      </c>
    </row>
    <row r="159" spans="1:7" x14ac:dyDescent="0.25">
      <c r="A159" t="s">
        <v>207</v>
      </c>
      <c r="B159" t="s">
        <v>395</v>
      </c>
      <c r="C159" t="s">
        <v>413</v>
      </c>
      <c r="D159" s="1">
        <v>43877</v>
      </c>
      <c r="E159" s="2">
        <v>7681</v>
      </c>
      <c r="F159" s="10">
        <v>496.24</v>
      </c>
      <c r="G159" s="10">
        <f t="shared" si="2"/>
        <v>3811619.44</v>
      </c>
    </row>
    <row r="160" spans="1:7" x14ac:dyDescent="0.25">
      <c r="A160" t="s">
        <v>564</v>
      </c>
      <c r="B160" t="s">
        <v>394</v>
      </c>
      <c r="C160" t="s">
        <v>401</v>
      </c>
      <c r="D160" s="1">
        <v>43859</v>
      </c>
      <c r="E160" s="2">
        <v>5593</v>
      </c>
      <c r="F160" s="3">
        <v>53.11</v>
      </c>
      <c r="G160" s="3">
        <f t="shared" si="2"/>
        <v>297044.23</v>
      </c>
    </row>
    <row r="161" spans="1:7" x14ac:dyDescent="0.25">
      <c r="A161" t="s">
        <v>565</v>
      </c>
      <c r="B161" t="s">
        <v>398</v>
      </c>
      <c r="C161" t="s">
        <v>413</v>
      </c>
      <c r="D161" s="1">
        <v>43853</v>
      </c>
      <c r="E161" s="2">
        <v>9682</v>
      </c>
      <c r="F161" s="10">
        <v>500.83</v>
      </c>
      <c r="G161" s="10">
        <f t="shared" si="2"/>
        <v>4849036.0599999996</v>
      </c>
    </row>
    <row r="162" spans="1:7" x14ac:dyDescent="0.25">
      <c r="A162" t="s">
        <v>156</v>
      </c>
      <c r="B162" t="s">
        <v>397</v>
      </c>
      <c r="C162" t="s">
        <v>401</v>
      </c>
      <c r="D162" s="1">
        <v>43850</v>
      </c>
      <c r="E162" s="2">
        <v>7581</v>
      </c>
      <c r="F162" s="3">
        <v>346.91</v>
      </c>
      <c r="G162" s="3">
        <f t="shared" si="2"/>
        <v>2629924.71</v>
      </c>
    </row>
    <row r="163" spans="1:7" x14ac:dyDescent="0.25">
      <c r="A163" t="s">
        <v>358</v>
      </c>
      <c r="B163" t="s">
        <v>399</v>
      </c>
      <c r="C163" t="s">
        <v>406</v>
      </c>
      <c r="D163" s="1">
        <v>43832</v>
      </c>
      <c r="E163" s="2">
        <v>795</v>
      </c>
      <c r="F163" s="3">
        <v>265.97000000000003</v>
      </c>
      <c r="G163" s="3">
        <f t="shared" si="2"/>
        <v>211446.15000000002</v>
      </c>
    </row>
    <row r="164" spans="1:7" x14ac:dyDescent="0.25">
      <c r="A164" t="s">
        <v>152</v>
      </c>
      <c r="B164" t="s">
        <v>393</v>
      </c>
      <c r="C164" t="s">
        <v>408</v>
      </c>
      <c r="D164" s="1">
        <v>43872</v>
      </c>
      <c r="E164" s="2">
        <v>8007</v>
      </c>
      <c r="F164" s="3">
        <v>445.97</v>
      </c>
      <c r="G164" s="3">
        <f t="shared" si="2"/>
        <v>3570881.79</v>
      </c>
    </row>
    <row r="165" spans="1:7" x14ac:dyDescent="0.25">
      <c r="A165" t="s">
        <v>566</v>
      </c>
      <c r="B165" t="s">
        <v>395</v>
      </c>
      <c r="C165" t="s">
        <v>401</v>
      </c>
      <c r="D165" s="1">
        <v>43834</v>
      </c>
      <c r="E165" s="2">
        <v>4900</v>
      </c>
      <c r="F165" s="3">
        <v>492.52</v>
      </c>
      <c r="G165" s="3">
        <f t="shared" si="2"/>
        <v>2413348</v>
      </c>
    </row>
    <row r="166" spans="1:7" x14ac:dyDescent="0.25">
      <c r="A166" t="s">
        <v>336</v>
      </c>
      <c r="B166" t="s">
        <v>395</v>
      </c>
      <c r="C166" t="s">
        <v>412</v>
      </c>
      <c r="D166" s="1">
        <v>43832</v>
      </c>
      <c r="E166" s="2">
        <v>2777</v>
      </c>
      <c r="F166" s="3">
        <v>481.45</v>
      </c>
      <c r="G166" s="3">
        <f t="shared" si="2"/>
        <v>1336986.6499999999</v>
      </c>
    </row>
    <row r="167" spans="1:7" x14ac:dyDescent="0.25">
      <c r="A167" t="s">
        <v>151</v>
      </c>
      <c r="B167" t="s">
        <v>396</v>
      </c>
      <c r="C167" t="s">
        <v>410</v>
      </c>
      <c r="D167" s="1">
        <v>43884</v>
      </c>
      <c r="E167" s="2">
        <v>4018</v>
      </c>
      <c r="F167" s="3">
        <v>291.2</v>
      </c>
      <c r="G167" s="3">
        <f t="shared" si="2"/>
        <v>1170041.5999999999</v>
      </c>
    </row>
    <row r="168" spans="1:7" x14ac:dyDescent="0.25">
      <c r="A168" t="s">
        <v>567</v>
      </c>
      <c r="B168" t="s">
        <v>396</v>
      </c>
      <c r="C168" t="s">
        <v>406</v>
      </c>
      <c r="D168" s="1">
        <v>43871</v>
      </c>
      <c r="E168" s="2">
        <v>467</v>
      </c>
      <c r="F168" s="3">
        <v>141.36000000000001</v>
      </c>
      <c r="G168" s="3">
        <f t="shared" si="2"/>
        <v>66015.12000000001</v>
      </c>
    </row>
    <row r="169" spans="1:7" x14ac:dyDescent="0.25">
      <c r="A169" t="s">
        <v>568</v>
      </c>
      <c r="B169" t="s">
        <v>396</v>
      </c>
      <c r="C169" t="s">
        <v>406</v>
      </c>
      <c r="D169" s="1">
        <v>43846</v>
      </c>
      <c r="E169" s="2">
        <v>7922</v>
      </c>
      <c r="F169" s="3">
        <v>312.8</v>
      </c>
      <c r="G169" s="3">
        <f t="shared" si="2"/>
        <v>2478001.6</v>
      </c>
    </row>
    <row r="170" spans="1:7" x14ac:dyDescent="0.25">
      <c r="A170" t="s">
        <v>569</v>
      </c>
      <c r="B170" t="s">
        <v>395</v>
      </c>
      <c r="C170" t="s">
        <v>411</v>
      </c>
      <c r="D170" s="1">
        <v>43875</v>
      </c>
      <c r="E170" s="2">
        <v>2718</v>
      </c>
      <c r="F170" s="3">
        <v>144.46</v>
      </c>
      <c r="G170" s="3">
        <f t="shared" si="2"/>
        <v>392642.28</v>
      </c>
    </row>
    <row r="171" spans="1:7" x14ac:dyDescent="0.25">
      <c r="A171" t="s">
        <v>302</v>
      </c>
      <c r="B171" t="s">
        <v>395</v>
      </c>
      <c r="C171" t="s">
        <v>401</v>
      </c>
      <c r="D171" s="1">
        <v>43890</v>
      </c>
      <c r="E171" s="2">
        <v>6387</v>
      </c>
      <c r="F171" s="3">
        <v>198.44</v>
      </c>
      <c r="G171" s="3">
        <f t="shared" si="2"/>
        <v>1267436.28</v>
      </c>
    </row>
    <row r="172" spans="1:7" x14ac:dyDescent="0.25">
      <c r="A172" t="s">
        <v>570</v>
      </c>
      <c r="B172" t="s">
        <v>395</v>
      </c>
      <c r="C172" t="s">
        <v>407</v>
      </c>
      <c r="D172" s="1">
        <v>43838</v>
      </c>
      <c r="E172" s="2">
        <v>3255</v>
      </c>
      <c r="F172" s="3">
        <v>211.99</v>
      </c>
      <c r="G172" s="3">
        <f t="shared" si="2"/>
        <v>690027.45000000007</v>
      </c>
    </row>
    <row r="173" spans="1:7" x14ac:dyDescent="0.25">
      <c r="A173" t="s">
        <v>377</v>
      </c>
      <c r="B173" t="s">
        <v>394</v>
      </c>
      <c r="C173" t="s">
        <v>401</v>
      </c>
      <c r="D173" s="1">
        <v>43888</v>
      </c>
      <c r="E173" s="2">
        <v>9489</v>
      </c>
      <c r="F173" s="3">
        <v>382.83</v>
      </c>
      <c r="G173" s="3">
        <f t="shared" si="2"/>
        <v>3632673.8699999996</v>
      </c>
    </row>
    <row r="174" spans="1:7" x14ac:dyDescent="0.25">
      <c r="A174" t="s">
        <v>571</v>
      </c>
      <c r="B174" t="s">
        <v>396</v>
      </c>
      <c r="C174" t="s">
        <v>410</v>
      </c>
      <c r="D174" s="1">
        <v>43840</v>
      </c>
      <c r="E174" s="2">
        <v>7807</v>
      </c>
      <c r="F174" s="3">
        <v>125.03</v>
      </c>
      <c r="G174" s="3">
        <f t="shared" si="2"/>
        <v>976109.21</v>
      </c>
    </row>
    <row r="175" spans="1:7" x14ac:dyDescent="0.25">
      <c r="A175" t="s">
        <v>572</v>
      </c>
      <c r="B175" t="s">
        <v>399</v>
      </c>
      <c r="C175" t="s">
        <v>408</v>
      </c>
      <c r="D175" s="1">
        <v>43867</v>
      </c>
      <c r="E175" s="2">
        <v>9319</v>
      </c>
      <c r="F175" s="3">
        <v>385.5</v>
      </c>
      <c r="G175" s="3">
        <f t="shared" si="2"/>
        <v>3592474.5</v>
      </c>
    </row>
    <row r="176" spans="1:7" x14ac:dyDescent="0.25">
      <c r="A176" t="s">
        <v>573</v>
      </c>
      <c r="B176" t="s">
        <v>395</v>
      </c>
      <c r="C176" t="s">
        <v>408</v>
      </c>
      <c r="D176" s="1">
        <v>43881</v>
      </c>
      <c r="E176" s="2">
        <v>1815</v>
      </c>
      <c r="F176" s="3">
        <v>375.52</v>
      </c>
      <c r="G176" s="3">
        <f t="shared" si="2"/>
        <v>681568.79999999993</v>
      </c>
    </row>
    <row r="177" spans="1:7" x14ac:dyDescent="0.25">
      <c r="A177" t="s">
        <v>574</v>
      </c>
      <c r="B177" t="s">
        <v>396</v>
      </c>
      <c r="C177" t="s">
        <v>410</v>
      </c>
      <c r="D177" s="1">
        <v>43836</v>
      </c>
      <c r="E177" s="2">
        <v>1235</v>
      </c>
      <c r="F177" s="3">
        <v>251.4</v>
      </c>
      <c r="G177" s="3">
        <f t="shared" si="2"/>
        <v>310479</v>
      </c>
    </row>
    <row r="178" spans="1:7" x14ac:dyDescent="0.25">
      <c r="A178" t="s">
        <v>277</v>
      </c>
      <c r="B178" t="s">
        <v>398</v>
      </c>
      <c r="C178" t="s">
        <v>401</v>
      </c>
      <c r="D178" s="1">
        <v>43854</v>
      </c>
      <c r="E178" s="2">
        <v>8299</v>
      </c>
      <c r="F178" s="3">
        <v>163.04</v>
      </c>
      <c r="G178" s="3">
        <f t="shared" si="2"/>
        <v>1353068.96</v>
      </c>
    </row>
    <row r="179" spans="1:7" x14ac:dyDescent="0.25">
      <c r="A179" t="s">
        <v>362</v>
      </c>
      <c r="B179" t="s">
        <v>398</v>
      </c>
      <c r="C179" t="s">
        <v>410</v>
      </c>
      <c r="D179" s="1">
        <v>43867</v>
      </c>
      <c r="E179" s="2">
        <v>8903</v>
      </c>
      <c r="F179" s="3">
        <v>352.61</v>
      </c>
      <c r="G179" s="3">
        <f t="shared" si="2"/>
        <v>3139286.83</v>
      </c>
    </row>
    <row r="180" spans="1:7" x14ac:dyDescent="0.25">
      <c r="A180" t="s">
        <v>309</v>
      </c>
      <c r="B180" t="s">
        <v>395</v>
      </c>
      <c r="C180" t="s">
        <v>406</v>
      </c>
      <c r="D180" s="1">
        <v>43841</v>
      </c>
      <c r="E180" s="2">
        <v>3889</v>
      </c>
      <c r="F180" s="3">
        <v>296.47000000000003</v>
      </c>
      <c r="G180" s="3">
        <f t="shared" si="2"/>
        <v>1152971.83</v>
      </c>
    </row>
    <row r="181" spans="1:7" x14ac:dyDescent="0.25">
      <c r="A181" t="s">
        <v>575</v>
      </c>
      <c r="B181" t="s">
        <v>400</v>
      </c>
      <c r="C181" t="s">
        <v>463</v>
      </c>
      <c r="D181" s="1">
        <v>43842</v>
      </c>
      <c r="E181" s="2">
        <v>2185</v>
      </c>
      <c r="F181" s="3">
        <v>398.2</v>
      </c>
      <c r="G181" s="3">
        <f t="shared" si="2"/>
        <v>870067</v>
      </c>
    </row>
    <row r="182" spans="1:7" x14ac:dyDescent="0.25">
      <c r="A182" t="s">
        <v>576</v>
      </c>
      <c r="B182" t="s">
        <v>399</v>
      </c>
      <c r="C182" t="s">
        <v>463</v>
      </c>
      <c r="D182" s="1">
        <v>43860</v>
      </c>
      <c r="E182" s="2">
        <v>1417</v>
      </c>
      <c r="F182" s="3">
        <v>231.3</v>
      </c>
      <c r="G182" s="3">
        <f t="shared" si="2"/>
        <v>327752.10000000003</v>
      </c>
    </row>
    <row r="183" spans="1:7" x14ac:dyDescent="0.25">
      <c r="A183" t="s">
        <v>577</v>
      </c>
      <c r="B183" t="s">
        <v>398</v>
      </c>
      <c r="C183" t="s">
        <v>411</v>
      </c>
      <c r="D183" s="1">
        <v>43836</v>
      </c>
      <c r="E183" s="2">
        <v>9470</v>
      </c>
      <c r="F183" s="3">
        <v>245.07</v>
      </c>
      <c r="G183" s="3">
        <f t="shared" si="2"/>
        <v>2320812.9</v>
      </c>
    </row>
    <row r="184" spans="1:7" x14ac:dyDescent="0.25">
      <c r="A184" t="s">
        <v>578</v>
      </c>
      <c r="B184" t="s">
        <v>399</v>
      </c>
      <c r="C184" t="s">
        <v>411</v>
      </c>
      <c r="D184" s="1">
        <v>43869</v>
      </c>
      <c r="E184" s="2">
        <v>6980</v>
      </c>
      <c r="F184" s="3">
        <v>293.02999999999997</v>
      </c>
      <c r="G184" s="3">
        <f t="shared" si="2"/>
        <v>2045349.4</v>
      </c>
    </row>
    <row r="185" spans="1:7" x14ac:dyDescent="0.25">
      <c r="A185" t="s">
        <v>579</v>
      </c>
      <c r="B185" t="s">
        <v>400</v>
      </c>
      <c r="C185" t="s">
        <v>411</v>
      </c>
      <c r="D185" s="1">
        <v>43839</v>
      </c>
      <c r="E185" s="2">
        <v>1682</v>
      </c>
      <c r="F185" s="3">
        <v>187.26</v>
      </c>
      <c r="G185" s="3">
        <f t="shared" si="2"/>
        <v>314971.32</v>
      </c>
    </row>
    <row r="186" spans="1:7" x14ac:dyDescent="0.25">
      <c r="A186" t="s">
        <v>580</v>
      </c>
      <c r="B186" t="s">
        <v>394</v>
      </c>
      <c r="C186" t="s">
        <v>463</v>
      </c>
      <c r="D186" s="1">
        <v>43842</v>
      </c>
      <c r="E186" s="2">
        <v>8778</v>
      </c>
      <c r="F186" s="3">
        <v>163.47</v>
      </c>
      <c r="G186" s="3">
        <f t="shared" si="2"/>
        <v>1434939.66</v>
      </c>
    </row>
    <row r="187" spans="1:7" x14ac:dyDescent="0.25">
      <c r="A187" t="s">
        <v>581</v>
      </c>
      <c r="B187" t="s">
        <v>393</v>
      </c>
      <c r="C187" t="s">
        <v>408</v>
      </c>
      <c r="D187" s="1">
        <v>43862</v>
      </c>
      <c r="E187" s="2">
        <v>8832</v>
      </c>
      <c r="F187" s="3">
        <v>250.21</v>
      </c>
      <c r="G187" s="3">
        <f t="shared" si="2"/>
        <v>2209854.7200000002</v>
      </c>
    </row>
    <row r="188" spans="1:7" x14ac:dyDescent="0.25">
      <c r="A188" t="s">
        <v>582</v>
      </c>
      <c r="B188" t="s">
        <v>398</v>
      </c>
      <c r="C188" t="s">
        <v>411</v>
      </c>
      <c r="D188" s="1">
        <v>43834</v>
      </c>
      <c r="E188" s="2">
        <v>9195</v>
      </c>
      <c r="F188" s="3">
        <v>161.33000000000001</v>
      </c>
      <c r="G188" s="3">
        <f t="shared" si="2"/>
        <v>1483429.35</v>
      </c>
    </row>
    <row r="189" spans="1:7" x14ac:dyDescent="0.25">
      <c r="A189" t="s">
        <v>583</v>
      </c>
      <c r="B189" t="s">
        <v>400</v>
      </c>
      <c r="C189" t="s">
        <v>406</v>
      </c>
      <c r="D189" s="1">
        <v>43885</v>
      </c>
      <c r="E189" s="2">
        <v>4267</v>
      </c>
      <c r="F189" s="3">
        <v>477.14</v>
      </c>
      <c r="G189" s="3">
        <f t="shared" si="2"/>
        <v>2035956.38</v>
      </c>
    </row>
    <row r="190" spans="1:7" x14ac:dyDescent="0.25">
      <c r="A190" t="s">
        <v>584</v>
      </c>
      <c r="B190" t="s">
        <v>394</v>
      </c>
      <c r="C190" t="s">
        <v>463</v>
      </c>
      <c r="D190" s="1">
        <v>43844</v>
      </c>
      <c r="E190" s="2">
        <v>7233</v>
      </c>
      <c r="F190" s="3">
        <v>210.08</v>
      </c>
      <c r="G190" s="3">
        <f t="shared" si="2"/>
        <v>1519508.6400000001</v>
      </c>
    </row>
    <row r="191" spans="1:7" x14ac:dyDescent="0.25">
      <c r="A191" t="s">
        <v>585</v>
      </c>
      <c r="B191" t="s">
        <v>396</v>
      </c>
      <c r="C191" t="s">
        <v>407</v>
      </c>
      <c r="D191" s="1">
        <v>43890</v>
      </c>
      <c r="E191" s="2">
        <v>6992</v>
      </c>
      <c r="F191" s="3">
        <v>249.73</v>
      </c>
      <c r="G191" s="3">
        <f t="shared" si="2"/>
        <v>1746112.16</v>
      </c>
    </row>
    <row r="192" spans="1:7" x14ac:dyDescent="0.25">
      <c r="A192" t="s">
        <v>586</v>
      </c>
      <c r="B192" t="s">
        <v>393</v>
      </c>
      <c r="C192" t="s">
        <v>411</v>
      </c>
      <c r="D192" s="1">
        <v>43866</v>
      </c>
      <c r="E192" s="2">
        <v>8462</v>
      </c>
      <c r="F192" s="3">
        <v>383.12</v>
      </c>
      <c r="G192" s="3">
        <f t="shared" si="2"/>
        <v>3241961.44</v>
      </c>
    </row>
    <row r="193" spans="1:7" x14ac:dyDescent="0.25">
      <c r="A193" t="s">
        <v>587</v>
      </c>
      <c r="B193" t="s">
        <v>398</v>
      </c>
      <c r="C193" t="s">
        <v>411</v>
      </c>
      <c r="D193" s="1">
        <v>43887</v>
      </c>
      <c r="E193" s="2">
        <v>7417</v>
      </c>
      <c r="F193" s="3">
        <v>58.65</v>
      </c>
      <c r="G193" s="3">
        <f t="shared" si="2"/>
        <v>435007.05</v>
      </c>
    </row>
    <row r="194" spans="1:7" x14ac:dyDescent="0.25">
      <c r="A194" t="s">
        <v>371</v>
      </c>
      <c r="B194" t="s">
        <v>400</v>
      </c>
      <c r="C194" t="s">
        <v>413</v>
      </c>
      <c r="D194" s="1">
        <v>43840</v>
      </c>
      <c r="E194" s="2">
        <v>2587</v>
      </c>
      <c r="F194" s="10">
        <v>245.28</v>
      </c>
      <c r="G194" s="10">
        <f t="shared" si="2"/>
        <v>634539.36</v>
      </c>
    </row>
    <row r="195" spans="1:7" x14ac:dyDescent="0.25">
      <c r="A195" t="s">
        <v>588</v>
      </c>
      <c r="B195" t="s">
        <v>395</v>
      </c>
      <c r="C195" t="s">
        <v>406</v>
      </c>
      <c r="D195" s="1">
        <v>43856</v>
      </c>
      <c r="E195" s="2">
        <v>5174</v>
      </c>
      <c r="F195" s="3">
        <v>116.85</v>
      </c>
      <c r="G195" s="3">
        <f t="shared" ref="G195:G258" si="3">E195*F195</f>
        <v>604581.9</v>
      </c>
    </row>
    <row r="196" spans="1:7" x14ac:dyDescent="0.25">
      <c r="A196" t="s">
        <v>589</v>
      </c>
      <c r="B196" t="s">
        <v>394</v>
      </c>
      <c r="C196" t="s">
        <v>406</v>
      </c>
      <c r="D196" s="1">
        <v>43859</v>
      </c>
      <c r="E196" s="2">
        <v>3916</v>
      </c>
      <c r="F196" s="3">
        <v>371.84</v>
      </c>
      <c r="G196" s="3">
        <f t="shared" si="3"/>
        <v>1456125.44</v>
      </c>
    </row>
    <row r="197" spans="1:7" x14ac:dyDescent="0.25">
      <c r="A197" t="s">
        <v>590</v>
      </c>
      <c r="B197" t="s">
        <v>400</v>
      </c>
      <c r="C197" t="s">
        <v>411</v>
      </c>
      <c r="D197" s="1">
        <v>43874</v>
      </c>
      <c r="E197" s="2">
        <v>4258</v>
      </c>
      <c r="F197" s="3">
        <v>400.3</v>
      </c>
      <c r="G197" s="3">
        <f t="shared" si="3"/>
        <v>1704477.4000000001</v>
      </c>
    </row>
    <row r="198" spans="1:7" x14ac:dyDescent="0.25">
      <c r="A198" t="s">
        <v>591</v>
      </c>
      <c r="B198" t="s">
        <v>400</v>
      </c>
      <c r="C198" t="s">
        <v>406</v>
      </c>
      <c r="D198" s="1">
        <v>43869</v>
      </c>
      <c r="E198" s="2">
        <v>7395</v>
      </c>
      <c r="F198" s="3">
        <v>334.43</v>
      </c>
      <c r="G198" s="3">
        <f t="shared" si="3"/>
        <v>2473109.85</v>
      </c>
    </row>
    <row r="199" spans="1:7" x14ac:dyDescent="0.25">
      <c r="A199" t="s">
        <v>300</v>
      </c>
      <c r="B199" t="s">
        <v>394</v>
      </c>
      <c r="C199" t="s">
        <v>407</v>
      </c>
      <c r="D199" s="1">
        <v>43881</v>
      </c>
      <c r="E199" s="2">
        <v>4423</v>
      </c>
      <c r="F199" s="3">
        <v>128.41999999999999</v>
      </c>
      <c r="G199" s="3">
        <f t="shared" si="3"/>
        <v>568001.65999999992</v>
      </c>
    </row>
    <row r="200" spans="1:7" x14ac:dyDescent="0.25">
      <c r="A200" t="s">
        <v>592</v>
      </c>
      <c r="B200" t="s">
        <v>393</v>
      </c>
      <c r="C200" t="s">
        <v>412</v>
      </c>
      <c r="D200" s="1">
        <v>43882</v>
      </c>
      <c r="E200" s="2">
        <v>8847</v>
      </c>
      <c r="F200" s="3">
        <v>152</v>
      </c>
      <c r="G200" s="3">
        <f t="shared" si="3"/>
        <v>1344744</v>
      </c>
    </row>
    <row r="201" spans="1:7" x14ac:dyDescent="0.25">
      <c r="A201" t="s">
        <v>593</v>
      </c>
      <c r="B201" t="s">
        <v>398</v>
      </c>
      <c r="C201" t="s">
        <v>401</v>
      </c>
      <c r="D201" s="1">
        <v>43876</v>
      </c>
      <c r="E201" s="2">
        <v>7661</v>
      </c>
      <c r="F201" s="3">
        <v>84.06</v>
      </c>
      <c r="G201" s="3">
        <f t="shared" si="3"/>
        <v>643983.66</v>
      </c>
    </row>
    <row r="202" spans="1:7" x14ac:dyDescent="0.25">
      <c r="A202" t="s">
        <v>594</v>
      </c>
      <c r="B202" t="s">
        <v>394</v>
      </c>
      <c r="C202" t="s">
        <v>407</v>
      </c>
      <c r="D202" s="1">
        <v>43873</v>
      </c>
      <c r="E202" s="2">
        <v>6730</v>
      </c>
      <c r="F202" s="3">
        <v>199.91</v>
      </c>
      <c r="G202" s="3">
        <f t="shared" si="3"/>
        <v>1345394.3</v>
      </c>
    </row>
    <row r="203" spans="1:7" x14ac:dyDescent="0.25">
      <c r="A203" t="s">
        <v>595</v>
      </c>
      <c r="B203" t="s">
        <v>399</v>
      </c>
      <c r="C203" t="s">
        <v>406</v>
      </c>
      <c r="D203" s="1">
        <v>43845</v>
      </c>
      <c r="E203" s="2">
        <v>3515</v>
      </c>
      <c r="F203" s="3">
        <v>67.400000000000006</v>
      </c>
      <c r="G203" s="3">
        <f t="shared" si="3"/>
        <v>236911.00000000003</v>
      </c>
    </row>
    <row r="204" spans="1:7" x14ac:dyDescent="0.25">
      <c r="A204" t="s">
        <v>351</v>
      </c>
      <c r="B204" t="s">
        <v>400</v>
      </c>
      <c r="C204" t="s">
        <v>463</v>
      </c>
      <c r="D204" s="1">
        <v>43861</v>
      </c>
      <c r="E204" s="2">
        <v>4736</v>
      </c>
      <c r="F204" s="3">
        <v>266.01</v>
      </c>
      <c r="G204" s="3">
        <f t="shared" si="3"/>
        <v>1259823.3599999999</v>
      </c>
    </row>
    <row r="205" spans="1:7" x14ac:dyDescent="0.25">
      <c r="A205" t="s">
        <v>596</v>
      </c>
      <c r="B205" t="s">
        <v>400</v>
      </c>
      <c r="C205" t="s">
        <v>463</v>
      </c>
      <c r="D205" s="1">
        <v>43889</v>
      </c>
      <c r="E205" s="2">
        <v>1536</v>
      </c>
      <c r="F205" s="3">
        <v>469.33</v>
      </c>
      <c r="G205" s="3">
        <f t="shared" si="3"/>
        <v>720890.88</v>
      </c>
    </row>
    <row r="206" spans="1:7" x14ac:dyDescent="0.25">
      <c r="A206" t="s">
        <v>113</v>
      </c>
      <c r="B206" t="s">
        <v>393</v>
      </c>
      <c r="C206" t="s">
        <v>406</v>
      </c>
      <c r="D206" s="1">
        <v>43881</v>
      </c>
      <c r="E206" s="2">
        <v>2982</v>
      </c>
      <c r="F206" s="3">
        <v>277.36</v>
      </c>
      <c r="G206" s="3">
        <f t="shared" si="3"/>
        <v>827087.52</v>
      </c>
    </row>
    <row r="207" spans="1:7" x14ac:dyDescent="0.25">
      <c r="A207" t="s">
        <v>597</v>
      </c>
      <c r="B207" t="s">
        <v>398</v>
      </c>
      <c r="C207" t="s">
        <v>401</v>
      </c>
      <c r="D207" s="1">
        <v>43849</v>
      </c>
      <c r="E207" s="2">
        <v>6578</v>
      </c>
      <c r="F207" s="3">
        <v>491.88</v>
      </c>
      <c r="G207" s="3">
        <f t="shared" si="3"/>
        <v>3235586.64</v>
      </c>
    </row>
    <row r="208" spans="1:7" x14ac:dyDescent="0.25">
      <c r="A208" t="s">
        <v>598</v>
      </c>
      <c r="B208" t="s">
        <v>400</v>
      </c>
      <c r="C208" t="s">
        <v>412</v>
      </c>
      <c r="D208" s="1">
        <v>43834</v>
      </c>
      <c r="E208" s="2">
        <v>3684</v>
      </c>
      <c r="F208" s="3">
        <v>422.61</v>
      </c>
      <c r="G208" s="3">
        <f t="shared" si="3"/>
        <v>1556895.24</v>
      </c>
    </row>
    <row r="209" spans="1:7" x14ac:dyDescent="0.25">
      <c r="A209" t="s">
        <v>19</v>
      </c>
      <c r="B209" t="s">
        <v>398</v>
      </c>
      <c r="C209" t="s">
        <v>413</v>
      </c>
      <c r="D209" s="1">
        <v>43869</v>
      </c>
      <c r="E209" s="2">
        <v>3780</v>
      </c>
      <c r="F209" s="10">
        <v>225</v>
      </c>
      <c r="G209" s="10">
        <f t="shared" si="3"/>
        <v>850500</v>
      </c>
    </row>
    <row r="210" spans="1:7" x14ac:dyDescent="0.25">
      <c r="A210" t="s">
        <v>599</v>
      </c>
      <c r="B210" t="s">
        <v>396</v>
      </c>
      <c r="C210" t="s">
        <v>411</v>
      </c>
      <c r="D210" s="1">
        <v>43877</v>
      </c>
      <c r="E210" s="2">
        <v>3872</v>
      </c>
      <c r="F210" s="3">
        <v>126.75</v>
      </c>
      <c r="G210" s="3">
        <f t="shared" si="3"/>
        <v>490776</v>
      </c>
    </row>
    <row r="211" spans="1:7" x14ac:dyDescent="0.25">
      <c r="A211" t="s">
        <v>600</v>
      </c>
      <c r="B211" t="s">
        <v>397</v>
      </c>
      <c r="C211" t="s">
        <v>411</v>
      </c>
      <c r="D211" s="1">
        <v>43887</v>
      </c>
      <c r="E211" s="2">
        <v>946</v>
      </c>
      <c r="F211" s="3">
        <v>483.14</v>
      </c>
      <c r="G211" s="3">
        <f t="shared" si="3"/>
        <v>457050.44</v>
      </c>
    </row>
    <row r="212" spans="1:7" x14ac:dyDescent="0.25">
      <c r="A212" t="s">
        <v>601</v>
      </c>
      <c r="B212" t="s">
        <v>395</v>
      </c>
      <c r="C212" t="s">
        <v>401</v>
      </c>
      <c r="D212" s="1">
        <v>43844</v>
      </c>
      <c r="E212" s="2">
        <v>3465</v>
      </c>
      <c r="F212" s="3">
        <v>301.32</v>
      </c>
      <c r="G212" s="3">
        <f t="shared" si="3"/>
        <v>1044073.7999999999</v>
      </c>
    </row>
    <row r="213" spans="1:7" x14ac:dyDescent="0.25">
      <c r="A213" t="s">
        <v>54</v>
      </c>
      <c r="B213" t="s">
        <v>394</v>
      </c>
      <c r="C213" t="s">
        <v>413</v>
      </c>
      <c r="D213" s="1">
        <v>43862</v>
      </c>
      <c r="E213" s="2">
        <v>4704</v>
      </c>
      <c r="F213" s="10">
        <v>314.54000000000002</v>
      </c>
      <c r="G213" s="10">
        <f t="shared" si="3"/>
        <v>1479596.1600000001</v>
      </c>
    </row>
    <row r="214" spans="1:7" x14ac:dyDescent="0.25">
      <c r="A214" t="s">
        <v>197</v>
      </c>
      <c r="B214" t="s">
        <v>396</v>
      </c>
      <c r="C214" t="s">
        <v>410</v>
      </c>
      <c r="D214" s="1">
        <v>43839</v>
      </c>
      <c r="E214" s="2">
        <v>2817</v>
      </c>
      <c r="F214" s="3">
        <v>274.01</v>
      </c>
      <c r="G214" s="3">
        <f t="shared" si="3"/>
        <v>771886.16999999993</v>
      </c>
    </row>
    <row r="215" spans="1:7" x14ac:dyDescent="0.25">
      <c r="A215" t="s">
        <v>602</v>
      </c>
      <c r="B215" t="s">
        <v>399</v>
      </c>
      <c r="C215" t="s">
        <v>408</v>
      </c>
      <c r="D215" s="1">
        <v>43854</v>
      </c>
      <c r="E215" s="2">
        <v>4904</v>
      </c>
      <c r="F215" s="3">
        <v>297.26</v>
      </c>
      <c r="G215" s="3">
        <f t="shared" si="3"/>
        <v>1457763.04</v>
      </c>
    </row>
    <row r="216" spans="1:7" x14ac:dyDescent="0.25">
      <c r="A216" t="s">
        <v>196</v>
      </c>
      <c r="B216" t="s">
        <v>395</v>
      </c>
      <c r="C216" t="s">
        <v>410</v>
      </c>
      <c r="D216" s="1">
        <v>43874</v>
      </c>
      <c r="E216" s="2">
        <v>5965</v>
      </c>
      <c r="F216" s="3">
        <v>188.92</v>
      </c>
      <c r="G216" s="3">
        <f t="shared" si="3"/>
        <v>1126907.7999999998</v>
      </c>
    </row>
    <row r="217" spans="1:7" x14ac:dyDescent="0.25">
      <c r="A217" t="s">
        <v>603</v>
      </c>
      <c r="B217" t="s">
        <v>400</v>
      </c>
      <c r="C217" t="s">
        <v>406</v>
      </c>
      <c r="D217" s="1">
        <v>43862</v>
      </c>
      <c r="E217" s="2">
        <v>5749</v>
      </c>
      <c r="F217" s="3">
        <v>336.9</v>
      </c>
      <c r="G217" s="3">
        <f t="shared" si="3"/>
        <v>1936838.0999999999</v>
      </c>
    </row>
    <row r="218" spans="1:7" x14ac:dyDescent="0.25">
      <c r="A218" t="s">
        <v>114</v>
      </c>
      <c r="B218" t="s">
        <v>398</v>
      </c>
      <c r="C218" t="s">
        <v>413</v>
      </c>
      <c r="D218" s="1">
        <v>43837</v>
      </c>
      <c r="E218" s="2">
        <v>1030</v>
      </c>
      <c r="F218" s="10">
        <v>401.3</v>
      </c>
      <c r="G218" s="10">
        <f t="shared" si="3"/>
        <v>413339</v>
      </c>
    </row>
    <row r="219" spans="1:7" x14ac:dyDescent="0.25">
      <c r="A219" t="s">
        <v>189</v>
      </c>
      <c r="B219" t="s">
        <v>400</v>
      </c>
      <c r="C219" t="s">
        <v>406</v>
      </c>
      <c r="D219" s="1">
        <v>43838</v>
      </c>
      <c r="E219" s="2">
        <v>4058</v>
      </c>
      <c r="F219" s="3">
        <v>442.67</v>
      </c>
      <c r="G219" s="3">
        <f t="shared" si="3"/>
        <v>1796354.86</v>
      </c>
    </row>
    <row r="220" spans="1:7" x14ac:dyDescent="0.25">
      <c r="A220" t="s">
        <v>98</v>
      </c>
      <c r="B220" t="s">
        <v>395</v>
      </c>
      <c r="C220" t="s">
        <v>463</v>
      </c>
      <c r="D220" s="1">
        <v>43857</v>
      </c>
      <c r="E220" s="2">
        <v>803</v>
      </c>
      <c r="F220" s="3">
        <v>490.47</v>
      </c>
      <c r="G220" s="3">
        <f t="shared" si="3"/>
        <v>393847.41000000003</v>
      </c>
    </row>
    <row r="221" spans="1:7" x14ac:dyDescent="0.25">
      <c r="A221" t="s">
        <v>379</v>
      </c>
      <c r="B221" t="s">
        <v>395</v>
      </c>
      <c r="C221" t="s">
        <v>412</v>
      </c>
      <c r="D221" s="1">
        <v>43842</v>
      </c>
      <c r="E221" s="2">
        <v>270</v>
      </c>
      <c r="F221" s="3">
        <v>439.6</v>
      </c>
      <c r="G221" s="3">
        <f t="shared" si="3"/>
        <v>118692</v>
      </c>
    </row>
    <row r="222" spans="1:7" x14ac:dyDescent="0.25">
      <c r="A222" t="s">
        <v>604</v>
      </c>
      <c r="B222" t="s">
        <v>393</v>
      </c>
      <c r="C222" t="s">
        <v>412</v>
      </c>
      <c r="D222" s="1">
        <v>43849</v>
      </c>
      <c r="E222" s="2">
        <v>3373</v>
      </c>
      <c r="F222" s="3">
        <v>145.06</v>
      </c>
      <c r="G222" s="3">
        <f t="shared" si="3"/>
        <v>489287.38</v>
      </c>
    </row>
    <row r="223" spans="1:7" x14ac:dyDescent="0.25">
      <c r="A223" t="s">
        <v>372</v>
      </c>
      <c r="B223" t="s">
        <v>393</v>
      </c>
      <c r="C223" t="s">
        <v>413</v>
      </c>
      <c r="D223" s="1">
        <v>43884</v>
      </c>
      <c r="E223" s="2">
        <v>976</v>
      </c>
      <c r="F223" s="10">
        <v>386.31</v>
      </c>
      <c r="G223" s="10">
        <f t="shared" si="3"/>
        <v>377038.56</v>
      </c>
    </row>
    <row r="224" spans="1:7" x14ac:dyDescent="0.25">
      <c r="A224" t="s">
        <v>247</v>
      </c>
      <c r="B224" t="s">
        <v>397</v>
      </c>
      <c r="C224" t="s">
        <v>408</v>
      </c>
      <c r="D224" s="1">
        <v>43871</v>
      </c>
      <c r="E224" s="2">
        <v>2716</v>
      </c>
      <c r="F224" s="3">
        <v>360.09</v>
      </c>
      <c r="G224" s="3">
        <f t="shared" si="3"/>
        <v>978004.44</v>
      </c>
    </row>
    <row r="225" spans="1:7" x14ac:dyDescent="0.25">
      <c r="A225" t="s">
        <v>605</v>
      </c>
      <c r="B225" t="s">
        <v>395</v>
      </c>
      <c r="C225" t="s">
        <v>412</v>
      </c>
      <c r="D225" s="1">
        <v>43832</v>
      </c>
      <c r="E225" s="2">
        <v>2761</v>
      </c>
      <c r="F225" s="3">
        <v>67.56</v>
      </c>
      <c r="G225" s="3">
        <f t="shared" si="3"/>
        <v>186533.16</v>
      </c>
    </row>
    <row r="226" spans="1:7" x14ac:dyDescent="0.25">
      <c r="A226" t="s">
        <v>606</v>
      </c>
      <c r="B226" t="s">
        <v>393</v>
      </c>
      <c r="C226" t="s">
        <v>411</v>
      </c>
      <c r="D226" s="1">
        <v>43852</v>
      </c>
      <c r="E226" s="2">
        <v>7383</v>
      </c>
      <c r="F226" s="3">
        <v>268.79000000000002</v>
      </c>
      <c r="G226" s="3">
        <f t="shared" si="3"/>
        <v>1984476.57</v>
      </c>
    </row>
    <row r="227" spans="1:7" x14ac:dyDescent="0.25">
      <c r="A227" t="s">
        <v>607</v>
      </c>
      <c r="B227" t="s">
        <v>399</v>
      </c>
      <c r="C227" t="s">
        <v>406</v>
      </c>
      <c r="D227" s="1">
        <v>43875</v>
      </c>
      <c r="E227" s="2">
        <v>3688</v>
      </c>
      <c r="F227" s="3">
        <v>251.45</v>
      </c>
      <c r="G227" s="3">
        <f t="shared" si="3"/>
        <v>927347.6</v>
      </c>
    </row>
    <row r="228" spans="1:7" x14ac:dyDescent="0.25">
      <c r="A228" t="s">
        <v>366</v>
      </c>
      <c r="B228" t="s">
        <v>396</v>
      </c>
      <c r="C228" t="s">
        <v>401</v>
      </c>
      <c r="D228" s="1">
        <v>43866</v>
      </c>
      <c r="E228" s="2">
        <v>6697</v>
      </c>
      <c r="F228" s="3">
        <v>355.55</v>
      </c>
      <c r="G228" s="3">
        <f t="shared" si="3"/>
        <v>2381118.35</v>
      </c>
    </row>
    <row r="229" spans="1:7" x14ac:dyDescent="0.25">
      <c r="A229" t="s">
        <v>608</v>
      </c>
      <c r="B229" t="s">
        <v>395</v>
      </c>
      <c r="C229" t="s">
        <v>407</v>
      </c>
      <c r="D229" s="1">
        <v>43853</v>
      </c>
      <c r="E229" s="2">
        <v>6626</v>
      </c>
      <c r="F229" s="3">
        <v>146.21</v>
      </c>
      <c r="G229" s="3">
        <f t="shared" si="3"/>
        <v>968787.46000000008</v>
      </c>
    </row>
    <row r="230" spans="1:7" x14ac:dyDescent="0.25">
      <c r="A230" t="s">
        <v>97</v>
      </c>
      <c r="B230" t="s">
        <v>395</v>
      </c>
      <c r="C230" t="s">
        <v>412</v>
      </c>
      <c r="D230" s="1">
        <v>43840</v>
      </c>
      <c r="E230" s="2">
        <v>8857</v>
      </c>
      <c r="F230" s="3">
        <v>160.26</v>
      </c>
      <c r="G230" s="3">
        <f t="shared" si="3"/>
        <v>1419422.8199999998</v>
      </c>
    </row>
    <row r="231" spans="1:7" x14ac:dyDescent="0.25">
      <c r="A231" t="s">
        <v>609</v>
      </c>
      <c r="B231" t="s">
        <v>399</v>
      </c>
      <c r="C231" t="s">
        <v>408</v>
      </c>
      <c r="D231" s="1">
        <v>43877</v>
      </c>
      <c r="E231" s="2">
        <v>5438</v>
      </c>
      <c r="F231" s="3">
        <v>170.97</v>
      </c>
      <c r="G231" s="3">
        <f t="shared" si="3"/>
        <v>929734.86</v>
      </c>
    </row>
    <row r="232" spans="1:7" x14ac:dyDescent="0.25">
      <c r="A232" t="s">
        <v>610</v>
      </c>
      <c r="B232" t="s">
        <v>399</v>
      </c>
      <c r="C232" t="s">
        <v>408</v>
      </c>
      <c r="D232" s="1">
        <v>43872</v>
      </c>
      <c r="E232" s="2">
        <v>840</v>
      </c>
      <c r="F232" s="3">
        <v>251.39</v>
      </c>
      <c r="G232" s="3">
        <f t="shared" si="3"/>
        <v>211167.59999999998</v>
      </c>
    </row>
    <row r="233" spans="1:7" x14ac:dyDescent="0.25">
      <c r="A233" t="s">
        <v>338</v>
      </c>
      <c r="B233" t="s">
        <v>396</v>
      </c>
      <c r="C233" t="s">
        <v>412</v>
      </c>
      <c r="D233" s="1">
        <v>43853</v>
      </c>
      <c r="E233" s="2">
        <v>2035</v>
      </c>
      <c r="F233" s="3">
        <v>265.12</v>
      </c>
      <c r="G233" s="3">
        <f t="shared" si="3"/>
        <v>539519.19999999995</v>
      </c>
    </row>
    <row r="234" spans="1:7" x14ac:dyDescent="0.25">
      <c r="A234" t="s">
        <v>611</v>
      </c>
      <c r="B234" t="s">
        <v>397</v>
      </c>
      <c r="C234" t="s">
        <v>407</v>
      </c>
      <c r="D234" s="1">
        <v>43873</v>
      </c>
      <c r="E234" s="2">
        <v>1230</v>
      </c>
      <c r="F234" s="3">
        <v>459.91</v>
      </c>
      <c r="G234" s="3">
        <f t="shared" si="3"/>
        <v>565689.30000000005</v>
      </c>
    </row>
    <row r="235" spans="1:7" x14ac:dyDescent="0.25">
      <c r="A235" t="s">
        <v>142</v>
      </c>
      <c r="B235" t="s">
        <v>396</v>
      </c>
      <c r="C235" t="s">
        <v>401</v>
      </c>
      <c r="D235" s="1">
        <v>43855</v>
      </c>
      <c r="E235" s="2">
        <v>2928</v>
      </c>
      <c r="F235" s="3">
        <v>76.41</v>
      </c>
      <c r="G235" s="3">
        <f t="shared" si="3"/>
        <v>223728.47999999998</v>
      </c>
    </row>
    <row r="236" spans="1:7" x14ac:dyDescent="0.25">
      <c r="A236" t="s">
        <v>390</v>
      </c>
      <c r="B236" t="s">
        <v>398</v>
      </c>
      <c r="C236" t="s">
        <v>406</v>
      </c>
      <c r="D236" s="1">
        <v>43864</v>
      </c>
      <c r="E236" s="2">
        <v>8243</v>
      </c>
      <c r="F236" s="3">
        <v>345.08</v>
      </c>
      <c r="G236" s="3">
        <f t="shared" si="3"/>
        <v>2844494.44</v>
      </c>
    </row>
    <row r="237" spans="1:7" x14ac:dyDescent="0.25">
      <c r="A237" t="s">
        <v>124</v>
      </c>
      <c r="B237" t="s">
        <v>398</v>
      </c>
      <c r="C237" t="s">
        <v>408</v>
      </c>
      <c r="D237" s="1">
        <v>43878</v>
      </c>
      <c r="E237" s="2">
        <v>1920</v>
      </c>
      <c r="F237" s="3">
        <v>473.86</v>
      </c>
      <c r="G237" s="3">
        <f t="shared" si="3"/>
        <v>909811.20000000007</v>
      </c>
    </row>
    <row r="238" spans="1:7" x14ac:dyDescent="0.25">
      <c r="A238" t="s">
        <v>612</v>
      </c>
      <c r="B238" t="s">
        <v>397</v>
      </c>
      <c r="C238" t="s">
        <v>411</v>
      </c>
      <c r="D238" s="1">
        <v>43855</v>
      </c>
      <c r="E238" s="2">
        <v>8210</v>
      </c>
      <c r="F238" s="3">
        <v>349.89</v>
      </c>
      <c r="G238" s="3">
        <f t="shared" si="3"/>
        <v>2872596.9</v>
      </c>
    </row>
    <row r="239" spans="1:7" x14ac:dyDescent="0.25">
      <c r="A239" t="s">
        <v>613</v>
      </c>
      <c r="B239" t="s">
        <v>396</v>
      </c>
      <c r="C239" t="s">
        <v>413</v>
      </c>
      <c r="D239" s="1">
        <v>43864</v>
      </c>
      <c r="E239" s="2">
        <v>9809</v>
      </c>
      <c r="F239" s="10">
        <v>96.59</v>
      </c>
      <c r="G239" s="10">
        <f t="shared" si="3"/>
        <v>947451.31</v>
      </c>
    </row>
    <row r="240" spans="1:7" x14ac:dyDescent="0.25">
      <c r="A240" t="s">
        <v>614</v>
      </c>
      <c r="B240" t="s">
        <v>399</v>
      </c>
      <c r="C240" t="s">
        <v>463</v>
      </c>
      <c r="D240" s="1">
        <v>43841</v>
      </c>
      <c r="E240" s="2">
        <v>2383</v>
      </c>
      <c r="F240" s="3">
        <v>293.70999999999998</v>
      </c>
      <c r="G240" s="3">
        <f t="shared" si="3"/>
        <v>699910.92999999993</v>
      </c>
    </row>
    <row r="241" spans="1:7" x14ac:dyDescent="0.25">
      <c r="A241" t="s">
        <v>615</v>
      </c>
      <c r="B241" t="s">
        <v>394</v>
      </c>
      <c r="C241" t="s">
        <v>406</v>
      </c>
      <c r="D241" s="1">
        <v>43846</v>
      </c>
      <c r="E241" s="2">
        <v>8537</v>
      </c>
      <c r="F241" s="3">
        <v>302.19</v>
      </c>
      <c r="G241" s="3">
        <f t="shared" si="3"/>
        <v>2579796.0299999998</v>
      </c>
    </row>
    <row r="242" spans="1:7" x14ac:dyDescent="0.25">
      <c r="A242" t="s">
        <v>616</v>
      </c>
      <c r="B242" t="s">
        <v>395</v>
      </c>
      <c r="C242" t="s">
        <v>411</v>
      </c>
      <c r="D242" s="1">
        <v>43862</v>
      </c>
      <c r="E242" s="2">
        <v>3740</v>
      </c>
      <c r="F242" s="3">
        <v>444</v>
      </c>
      <c r="G242" s="3">
        <f t="shared" si="3"/>
        <v>1660560</v>
      </c>
    </row>
    <row r="243" spans="1:7" x14ac:dyDescent="0.25">
      <c r="A243" t="s">
        <v>129</v>
      </c>
      <c r="B243" t="s">
        <v>393</v>
      </c>
      <c r="C243" t="s">
        <v>408</v>
      </c>
      <c r="D243" s="1">
        <v>43876</v>
      </c>
      <c r="E243" s="2">
        <v>858</v>
      </c>
      <c r="F243" s="3">
        <v>480.64</v>
      </c>
      <c r="G243" s="3">
        <f t="shared" si="3"/>
        <v>412389.12</v>
      </c>
    </row>
    <row r="244" spans="1:7" x14ac:dyDescent="0.25">
      <c r="A244" t="s">
        <v>148</v>
      </c>
      <c r="B244" t="s">
        <v>400</v>
      </c>
      <c r="C244" t="s">
        <v>401</v>
      </c>
      <c r="D244" s="1">
        <v>43881</v>
      </c>
      <c r="E244" s="2">
        <v>4470</v>
      </c>
      <c r="F244" s="3">
        <v>54.9</v>
      </c>
      <c r="G244" s="3">
        <f t="shared" si="3"/>
        <v>245403</v>
      </c>
    </row>
    <row r="245" spans="1:7" x14ac:dyDescent="0.25">
      <c r="A245" t="s">
        <v>137</v>
      </c>
      <c r="B245" t="s">
        <v>393</v>
      </c>
      <c r="C245" t="s">
        <v>407</v>
      </c>
      <c r="D245" s="1">
        <v>43859</v>
      </c>
      <c r="E245" s="2">
        <v>9011</v>
      </c>
      <c r="F245" s="3">
        <v>203.15</v>
      </c>
      <c r="G245" s="3">
        <f t="shared" si="3"/>
        <v>1830584.6500000001</v>
      </c>
    </row>
    <row r="246" spans="1:7" x14ac:dyDescent="0.25">
      <c r="A246" t="s">
        <v>617</v>
      </c>
      <c r="B246" t="s">
        <v>398</v>
      </c>
      <c r="C246" t="s">
        <v>463</v>
      </c>
      <c r="D246" s="1">
        <v>43843</v>
      </c>
      <c r="E246" s="2">
        <v>192</v>
      </c>
      <c r="F246" s="3">
        <v>348.89</v>
      </c>
      <c r="G246" s="3">
        <f t="shared" si="3"/>
        <v>66986.880000000005</v>
      </c>
    </row>
    <row r="247" spans="1:7" x14ac:dyDescent="0.25">
      <c r="A247" t="s">
        <v>618</v>
      </c>
      <c r="B247" t="s">
        <v>399</v>
      </c>
      <c r="C247" t="s">
        <v>406</v>
      </c>
      <c r="D247" s="1">
        <v>43833</v>
      </c>
      <c r="E247" s="2">
        <v>5909</v>
      </c>
      <c r="F247" s="3">
        <v>396.66</v>
      </c>
      <c r="G247" s="3">
        <f t="shared" si="3"/>
        <v>2343863.94</v>
      </c>
    </row>
    <row r="248" spans="1:7" x14ac:dyDescent="0.25">
      <c r="A248" t="s">
        <v>110</v>
      </c>
      <c r="B248" t="s">
        <v>400</v>
      </c>
      <c r="C248" t="s">
        <v>412</v>
      </c>
      <c r="D248" s="1">
        <v>43846</v>
      </c>
      <c r="E248" s="2">
        <v>9013</v>
      </c>
      <c r="F248" s="3">
        <v>470.22</v>
      </c>
      <c r="G248" s="3">
        <f t="shared" si="3"/>
        <v>4238092.8600000003</v>
      </c>
    </row>
    <row r="249" spans="1:7" x14ac:dyDescent="0.25">
      <c r="A249" t="s">
        <v>619</v>
      </c>
      <c r="B249" t="s">
        <v>395</v>
      </c>
      <c r="C249" t="s">
        <v>413</v>
      </c>
      <c r="D249" s="1">
        <v>43863</v>
      </c>
      <c r="E249" s="2">
        <v>814</v>
      </c>
      <c r="F249" s="10">
        <v>181.88</v>
      </c>
      <c r="G249" s="10">
        <f t="shared" si="3"/>
        <v>148050.32</v>
      </c>
    </row>
    <row r="250" spans="1:7" x14ac:dyDescent="0.25">
      <c r="A250" t="s">
        <v>60</v>
      </c>
      <c r="B250" t="s">
        <v>394</v>
      </c>
      <c r="C250" t="s">
        <v>412</v>
      </c>
      <c r="D250" s="1">
        <v>43871</v>
      </c>
      <c r="E250" s="2">
        <v>7573</v>
      </c>
      <c r="F250" s="3">
        <v>266.31</v>
      </c>
      <c r="G250" s="3">
        <f t="shared" si="3"/>
        <v>2016765.6300000001</v>
      </c>
    </row>
    <row r="251" spans="1:7" x14ac:dyDescent="0.25">
      <c r="A251" t="s">
        <v>620</v>
      </c>
      <c r="B251" t="s">
        <v>397</v>
      </c>
      <c r="C251" t="s">
        <v>463</v>
      </c>
      <c r="D251" s="1">
        <v>43885</v>
      </c>
      <c r="E251" s="2">
        <v>8958</v>
      </c>
      <c r="F251" s="3">
        <v>136.76</v>
      </c>
      <c r="G251" s="3">
        <f t="shared" si="3"/>
        <v>1225096.0799999998</v>
      </c>
    </row>
    <row r="252" spans="1:7" x14ac:dyDescent="0.25">
      <c r="A252" t="s">
        <v>621</v>
      </c>
      <c r="B252" t="s">
        <v>394</v>
      </c>
      <c r="C252" t="s">
        <v>412</v>
      </c>
      <c r="D252" s="1">
        <v>43844</v>
      </c>
      <c r="E252" s="2">
        <v>4874</v>
      </c>
      <c r="F252" s="3">
        <v>376.69</v>
      </c>
      <c r="G252" s="3">
        <f t="shared" si="3"/>
        <v>1835987.06</v>
      </c>
    </row>
    <row r="253" spans="1:7" x14ac:dyDescent="0.25">
      <c r="A253" t="s">
        <v>622</v>
      </c>
      <c r="B253" t="s">
        <v>394</v>
      </c>
      <c r="C253" t="s">
        <v>411</v>
      </c>
      <c r="D253" s="1">
        <v>43878</v>
      </c>
      <c r="E253" s="2">
        <v>3024</v>
      </c>
      <c r="F253" s="3">
        <v>233.31</v>
      </c>
      <c r="G253" s="3">
        <f t="shared" si="3"/>
        <v>705529.44000000006</v>
      </c>
    </row>
    <row r="254" spans="1:7" x14ac:dyDescent="0.25">
      <c r="A254" t="s">
        <v>623</v>
      </c>
      <c r="B254" t="s">
        <v>399</v>
      </c>
      <c r="C254" t="s">
        <v>401</v>
      </c>
      <c r="D254" s="1">
        <v>43834</v>
      </c>
      <c r="E254" s="2">
        <v>1846</v>
      </c>
      <c r="F254" s="3">
        <v>195.3</v>
      </c>
      <c r="G254" s="3">
        <f t="shared" si="3"/>
        <v>360523.80000000005</v>
      </c>
    </row>
    <row r="255" spans="1:7" x14ac:dyDescent="0.25">
      <c r="A255" t="s">
        <v>624</v>
      </c>
      <c r="B255" t="s">
        <v>399</v>
      </c>
      <c r="C255" t="s">
        <v>463</v>
      </c>
      <c r="D255" s="1">
        <v>43847</v>
      </c>
      <c r="E255" s="2">
        <v>7904</v>
      </c>
      <c r="F255" s="3">
        <v>342.54</v>
      </c>
      <c r="G255" s="3">
        <f t="shared" si="3"/>
        <v>2707436.16</v>
      </c>
    </row>
    <row r="256" spans="1:7" x14ac:dyDescent="0.25">
      <c r="A256" t="s">
        <v>87</v>
      </c>
      <c r="B256" t="s">
        <v>396</v>
      </c>
      <c r="C256" t="s">
        <v>412</v>
      </c>
      <c r="D256" s="1">
        <v>43841</v>
      </c>
      <c r="E256" s="2">
        <v>7757</v>
      </c>
      <c r="F256" s="3">
        <v>230.65</v>
      </c>
      <c r="G256" s="3">
        <f t="shared" si="3"/>
        <v>1789152.05</v>
      </c>
    </row>
    <row r="257" spans="1:7" x14ac:dyDescent="0.25">
      <c r="A257" t="s">
        <v>203</v>
      </c>
      <c r="B257" t="s">
        <v>394</v>
      </c>
      <c r="C257" t="s">
        <v>413</v>
      </c>
      <c r="D257" s="1">
        <v>43836</v>
      </c>
      <c r="E257" s="2">
        <v>4080</v>
      </c>
      <c r="F257" s="10">
        <v>492.76</v>
      </c>
      <c r="G257" s="10">
        <f t="shared" si="3"/>
        <v>2010460.8</v>
      </c>
    </row>
    <row r="258" spans="1:7" x14ac:dyDescent="0.25">
      <c r="A258" t="s">
        <v>199</v>
      </c>
      <c r="B258" t="s">
        <v>393</v>
      </c>
      <c r="C258" t="s">
        <v>411</v>
      </c>
      <c r="D258" s="1">
        <v>43853</v>
      </c>
      <c r="E258" s="2">
        <v>9105</v>
      </c>
      <c r="F258" s="3">
        <v>128.16999999999999</v>
      </c>
      <c r="G258" s="3">
        <f t="shared" si="3"/>
        <v>1166987.8499999999</v>
      </c>
    </row>
    <row r="259" spans="1:7" x14ac:dyDescent="0.25">
      <c r="A259" t="s">
        <v>127</v>
      </c>
      <c r="B259" t="s">
        <v>397</v>
      </c>
      <c r="C259" t="s">
        <v>412</v>
      </c>
      <c r="D259" s="1">
        <v>43866</v>
      </c>
      <c r="E259" s="2">
        <v>2335</v>
      </c>
      <c r="F259" s="3">
        <v>385.08</v>
      </c>
      <c r="G259" s="3">
        <f t="shared" ref="G259:G322" si="4">E259*F259</f>
        <v>899161.79999999993</v>
      </c>
    </row>
    <row r="260" spans="1:7" x14ac:dyDescent="0.25">
      <c r="A260" t="s">
        <v>250</v>
      </c>
      <c r="B260" t="s">
        <v>394</v>
      </c>
      <c r="C260" t="s">
        <v>406</v>
      </c>
      <c r="D260" s="1">
        <v>43849</v>
      </c>
      <c r="E260" s="2">
        <v>2660</v>
      </c>
      <c r="F260" s="3">
        <v>66.86</v>
      </c>
      <c r="G260" s="3">
        <f t="shared" si="4"/>
        <v>177847.6</v>
      </c>
    </row>
    <row r="261" spans="1:7" x14ac:dyDescent="0.25">
      <c r="A261" t="s">
        <v>235</v>
      </c>
      <c r="B261" t="s">
        <v>397</v>
      </c>
      <c r="C261" t="s">
        <v>406</v>
      </c>
      <c r="D261" s="1">
        <v>43878</v>
      </c>
      <c r="E261" s="2">
        <v>5183</v>
      </c>
      <c r="F261" s="3">
        <v>240.31</v>
      </c>
      <c r="G261" s="3">
        <f t="shared" si="4"/>
        <v>1245526.73</v>
      </c>
    </row>
    <row r="262" spans="1:7" x14ac:dyDescent="0.25">
      <c r="A262" t="s">
        <v>625</v>
      </c>
      <c r="B262" t="s">
        <v>400</v>
      </c>
      <c r="C262" t="s">
        <v>412</v>
      </c>
      <c r="D262" s="1">
        <v>43839</v>
      </c>
      <c r="E262" s="2">
        <v>6018</v>
      </c>
      <c r="F262" s="3">
        <v>416.63</v>
      </c>
      <c r="G262" s="3">
        <f t="shared" si="4"/>
        <v>2507279.34</v>
      </c>
    </row>
    <row r="263" spans="1:7" x14ac:dyDescent="0.25">
      <c r="A263" t="s">
        <v>626</v>
      </c>
      <c r="B263" t="s">
        <v>400</v>
      </c>
      <c r="C263" t="s">
        <v>401</v>
      </c>
      <c r="D263" s="1">
        <v>43837</v>
      </c>
      <c r="E263" s="2">
        <v>4367</v>
      </c>
      <c r="F263" s="3">
        <v>294.08</v>
      </c>
      <c r="G263" s="3">
        <f t="shared" si="4"/>
        <v>1284247.3599999999</v>
      </c>
    </row>
    <row r="264" spans="1:7" x14ac:dyDescent="0.25">
      <c r="A264" t="s">
        <v>287</v>
      </c>
      <c r="B264" t="s">
        <v>400</v>
      </c>
      <c r="C264" t="s">
        <v>406</v>
      </c>
      <c r="D264" s="1">
        <v>43889</v>
      </c>
      <c r="E264" s="2">
        <v>8946</v>
      </c>
      <c r="F264" s="3">
        <v>443.98</v>
      </c>
      <c r="G264" s="3">
        <f t="shared" si="4"/>
        <v>3971845.08</v>
      </c>
    </row>
    <row r="265" spans="1:7" x14ac:dyDescent="0.25">
      <c r="A265" t="s">
        <v>282</v>
      </c>
      <c r="B265" t="s">
        <v>394</v>
      </c>
      <c r="C265" t="s">
        <v>407</v>
      </c>
      <c r="D265" s="1">
        <v>43859</v>
      </c>
      <c r="E265" s="2">
        <v>5656</v>
      </c>
      <c r="F265" s="3">
        <v>415.04</v>
      </c>
      <c r="G265" s="3">
        <f t="shared" si="4"/>
        <v>2347466.2400000002</v>
      </c>
    </row>
    <row r="266" spans="1:7" x14ac:dyDescent="0.25">
      <c r="A266" t="s">
        <v>627</v>
      </c>
      <c r="B266" t="s">
        <v>398</v>
      </c>
      <c r="C266" t="s">
        <v>407</v>
      </c>
      <c r="D266" s="1">
        <v>43855</v>
      </c>
      <c r="E266" s="2">
        <v>5473</v>
      </c>
      <c r="F266" s="3">
        <v>409.75</v>
      </c>
      <c r="G266" s="3">
        <f t="shared" si="4"/>
        <v>2242561.75</v>
      </c>
    </row>
    <row r="267" spans="1:7" x14ac:dyDescent="0.25">
      <c r="A267" t="s">
        <v>191</v>
      </c>
      <c r="B267" t="s">
        <v>396</v>
      </c>
      <c r="C267" t="s">
        <v>463</v>
      </c>
      <c r="D267" s="1">
        <v>43859</v>
      </c>
      <c r="E267" s="2">
        <v>4068</v>
      </c>
      <c r="F267" s="3">
        <v>81.11</v>
      </c>
      <c r="G267" s="3">
        <f t="shared" si="4"/>
        <v>329955.48</v>
      </c>
    </row>
    <row r="268" spans="1:7" x14ac:dyDescent="0.25">
      <c r="A268" t="s">
        <v>628</v>
      </c>
      <c r="B268" t="s">
        <v>393</v>
      </c>
      <c r="C268" t="s">
        <v>407</v>
      </c>
      <c r="D268" s="1">
        <v>43842</v>
      </c>
      <c r="E268" s="2">
        <v>5943</v>
      </c>
      <c r="F268" s="3">
        <v>99.55</v>
      </c>
      <c r="G268" s="3">
        <f t="shared" si="4"/>
        <v>591625.65</v>
      </c>
    </row>
    <row r="269" spans="1:7" x14ac:dyDescent="0.25">
      <c r="A269" t="s">
        <v>254</v>
      </c>
      <c r="B269" t="s">
        <v>394</v>
      </c>
      <c r="C269" t="s">
        <v>410</v>
      </c>
      <c r="D269" s="1">
        <v>43844</v>
      </c>
      <c r="E269" s="2">
        <v>1987</v>
      </c>
      <c r="F269" s="3">
        <v>485.26</v>
      </c>
      <c r="G269" s="3">
        <f t="shared" si="4"/>
        <v>964211.62</v>
      </c>
    </row>
    <row r="270" spans="1:7" x14ac:dyDescent="0.25">
      <c r="A270" t="s">
        <v>104</v>
      </c>
      <c r="B270" t="s">
        <v>397</v>
      </c>
      <c r="C270" t="s">
        <v>411</v>
      </c>
      <c r="D270" s="1">
        <v>43856</v>
      </c>
      <c r="E270" s="2">
        <v>8004</v>
      </c>
      <c r="F270" s="3">
        <v>186.99</v>
      </c>
      <c r="G270" s="3">
        <f t="shared" si="4"/>
        <v>1496667.96</v>
      </c>
    </row>
    <row r="271" spans="1:7" x14ac:dyDescent="0.25">
      <c r="A271" t="s">
        <v>168</v>
      </c>
      <c r="B271" t="s">
        <v>397</v>
      </c>
      <c r="C271" t="s">
        <v>410</v>
      </c>
      <c r="D271" s="1">
        <v>43838</v>
      </c>
      <c r="E271" s="2">
        <v>854</v>
      </c>
      <c r="F271" s="3">
        <v>119.71</v>
      </c>
      <c r="G271" s="3">
        <f t="shared" si="4"/>
        <v>102232.34</v>
      </c>
    </row>
    <row r="272" spans="1:7" x14ac:dyDescent="0.25">
      <c r="A272" t="s">
        <v>629</v>
      </c>
      <c r="B272" t="s">
        <v>396</v>
      </c>
      <c r="C272" t="s">
        <v>411</v>
      </c>
      <c r="D272" s="1">
        <v>43855</v>
      </c>
      <c r="E272" s="2">
        <v>4435</v>
      </c>
      <c r="F272" s="3">
        <v>164.68</v>
      </c>
      <c r="G272" s="3">
        <f t="shared" si="4"/>
        <v>730355.8</v>
      </c>
    </row>
    <row r="273" spans="1:7" x14ac:dyDescent="0.25">
      <c r="A273" t="s">
        <v>630</v>
      </c>
      <c r="B273" t="s">
        <v>400</v>
      </c>
      <c r="C273" t="s">
        <v>413</v>
      </c>
      <c r="D273" s="1">
        <v>43868</v>
      </c>
      <c r="E273" s="2">
        <v>1451</v>
      </c>
      <c r="F273" s="10">
        <v>128.68</v>
      </c>
      <c r="G273" s="10">
        <f t="shared" si="4"/>
        <v>186714.68000000002</v>
      </c>
    </row>
    <row r="274" spans="1:7" x14ac:dyDescent="0.25">
      <c r="A274" t="s">
        <v>198</v>
      </c>
      <c r="B274" t="s">
        <v>396</v>
      </c>
      <c r="C274" t="s">
        <v>406</v>
      </c>
      <c r="D274" s="1">
        <v>43885</v>
      </c>
      <c r="E274" s="2">
        <v>1435</v>
      </c>
      <c r="F274" s="3">
        <v>127.89</v>
      </c>
      <c r="G274" s="3">
        <f t="shared" si="4"/>
        <v>183522.15</v>
      </c>
    </row>
    <row r="275" spans="1:7" x14ac:dyDescent="0.25">
      <c r="A275" t="s">
        <v>631</v>
      </c>
      <c r="B275" t="s">
        <v>397</v>
      </c>
      <c r="C275" t="s">
        <v>407</v>
      </c>
      <c r="D275" s="1">
        <v>43866</v>
      </c>
      <c r="E275" s="2">
        <v>9471</v>
      </c>
      <c r="F275" s="3">
        <v>463.12</v>
      </c>
      <c r="G275" s="3">
        <f t="shared" si="4"/>
        <v>4386209.5200000005</v>
      </c>
    </row>
    <row r="276" spans="1:7" x14ac:dyDescent="0.25">
      <c r="A276" t="s">
        <v>632</v>
      </c>
      <c r="B276" t="s">
        <v>396</v>
      </c>
      <c r="C276" t="s">
        <v>408</v>
      </c>
      <c r="D276" s="1">
        <v>43843</v>
      </c>
      <c r="E276" s="2">
        <v>9261</v>
      </c>
      <c r="F276" s="3">
        <v>283.41000000000003</v>
      </c>
      <c r="G276" s="3">
        <f t="shared" si="4"/>
        <v>2624660.0100000002</v>
      </c>
    </row>
    <row r="277" spans="1:7" x14ac:dyDescent="0.25">
      <c r="A277" t="s">
        <v>633</v>
      </c>
      <c r="B277" t="s">
        <v>400</v>
      </c>
      <c r="C277" t="s">
        <v>410</v>
      </c>
      <c r="D277" s="1">
        <v>43879</v>
      </c>
      <c r="E277" s="2">
        <v>6542</v>
      </c>
      <c r="F277" s="3">
        <v>201.31</v>
      </c>
      <c r="G277" s="3">
        <f t="shared" si="4"/>
        <v>1316970.02</v>
      </c>
    </row>
    <row r="278" spans="1:7" x14ac:dyDescent="0.25">
      <c r="A278" t="s">
        <v>41</v>
      </c>
      <c r="B278" t="s">
        <v>395</v>
      </c>
      <c r="C278" t="s">
        <v>412</v>
      </c>
      <c r="D278" s="1">
        <v>43854</v>
      </c>
      <c r="E278" s="2">
        <v>5652</v>
      </c>
      <c r="F278" s="3">
        <v>256.19</v>
      </c>
      <c r="G278" s="3">
        <f t="shared" si="4"/>
        <v>1447985.88</v>
      </c>
    </row>
    <row r="279" spans="1:7" x14ac:dyDescent="0.25">
      <c r="A279" t="s">
        <v>634</v>
      </c>
      <c r="B279" t="s">
        <v>396</v>
      </c>
      <c r="C279" t="s">
        <v>408</v>
      </c>
      <c r="D279" s="1">
        <v>43887</v>
      </c>
      <c r="E279" s="2">
        <v>1488</v>
      </c>
      <c r="F279" s="3">
        <v>285.62</v>
      </c>
      <c r="G279" s="3">
        <f t="shared" si="4"/>
        <v>425002.56</v>
      </c>
    </row>
    <row r="280" spans="1:7" x14ac:dyDescent="0.25">
      <c r="A280" t="s">
        <v>635</v>
      </c>
      <c r="B280" t="s">
        <v>394</v>
      </c>
      <c r="C280" t="s">
        <v>401</v>
      </c>
      <c r="D280" s="1">
        <v>43881</v>
      </c>
      <c r="E280" s="2">
        <v>3843</v>
      </c>
      <c r="F280" s="3">
        <v>120.49</v>
      </c>
      <c r="G280" s="3">
        <f t="shared" si="4"/>
        <v>463043.07</v>
      </c>
    </row>
    <row r="281" spans="1:7" x14ac:dyDescent="0.25">
      <c r="A281" t="s">
        <v>636</v>
      </c>
      <c r="B281" t="s">
        <v>399</v>
      </c>
      <c r="C281" t="s">
        <v>410</v>
      </c>
      <c r="D281" s="1">
        <v>43858</v>
      </c>
      <c r="E281" s="2">
        <v>6098</v>
      </c>
      <c r="F281" s="3">
        <v>252.52</v>
      </c>
      <c r="G281" s="3">
        <f t="shared" si="4"/>
        <v>1539866.96</v>
      </c>
    </row>
    <row r="282" spans="1:7" x14ac:dyDescent="0.25">
      <c r="A282" t="s">
        <v>637</v>
      </c>
      <c r="B282" t="s">
        <v>397</v>
      </c>
      <c r="C282" t="s">
        <v>401</v>
      </c>
      <c r="D282" s="1">
        <v>43857</v>
      </c>
      <c r="E282" s="2">
        <v>4663</v>
      </c>
      <c r="F282" s="3">
        <v>349.2</v>
      </c>
      <c r="G282" s="3">
        <f t="shared" si="4"/>
        <v>1628319.5999999999</v>
      </c>
    </row>
    <row r="283" spans="1:7" x14ac:dyDescent="0.25">
      <c r="A283" t="s">
        <v>365</v>
      </c>
      <c r="B283" t="s">
        <v>400</v>
      </c>
      <c r="C283" t="s">
        <v>407</v>
      </c>
      <c r="D283" s="1">
        <v>43846</v>
      </c>
      <c r="E283" s="2">
        <v>6637</v>
      </c>
      <c r="F283" s="3">
        <v>445.85</v>
      </c>
      <c r="G283" s="3">
        <f t="shared" si="4"/>
        <v>2959106.45</v>
      </c>
    </row>
    <row r="284" spans="1:7" x14ac:dyDescent="0.25">
      <c r="A284" t="s">
        <v>290</v>
      </c>
      <c r="B284" t="s">
        <v>400</v>
      </c>
      <c r="C284" t="s">
        <v>406</v>
      </c>
      <c r="D284" s="1">
        <v>43856</v>
      </c>
      <c r="E284" s="2">
        <v>5003</v>
      </c>
      <c r="F284" s="3">
        <v>276.19</v>
      </c>
      <c r="G284" s="3">
        <f t="shared" si="4"/>
        <v>1381778.57</v>
      </c>
    </row>
    <row r="285" spans="1:7" x14ac:dyDescent="0.25">
      <c r="A285" t="s">
        <v>638</v>
      </c>
      <c r="B285" t="s">
        <v>398</v>
      </c>
      <c r="C285" t="s">
        <v>406</v>
      </c>
      <c r="D285" s="1">
        <v>43872</v>
      </c>
      <c r="E285" s="2">
        <v>5409</v>
      </c>
      <c r="F285" s="3">
        <v>222.64</v>
      </c>
      <c r="G285" s="3">
        <f t="shared" si="4"/>
        <v>1204259.76</v>
      </c>
    </row>
    <row r="286" spans="1:7" x14ac:dyDescent="0.25">
      <c r="A286" t="s">
        <v>639</v>
      </c>
      <c r="B286" t="s">
        <v>400</v>
      </c>
      <c r="C286" t="s">
        <v>407</v>
      </c>
      <c r="D286" s="1">
        <v>43836</v>
      </c>
      <c r="E286" s="2">
        <v>9202</v>
      </c>
      <c r="F286" s="3">
        <v>320.07</v>
      </c>
      <c r="G286" s="3">
        <f t="shared" si="4"/>
        <v>2945284.14</v>
      </c>
    </row>
    <row r="287" spans="1:7" x14ac:dyDescent="0.25">
      <c r="A287" t="s">
        <v>640</v>
      </c>
      <c r="B287" t="s">
        <v>396</v>
      </c>
      <c r="C287" t="s">
        <v>410</v>
      </c>
      <c r="D287" s="1">
        <v>43855</v>
      </c>
      <c r="E287" s="2">
        <v>3548</v>
      </c>
      <c r="F287" s="3">
        <v>83.61</v>
      </c>
      <c r="G287" s="3">
        <f t="shared" si="4"/>
        <v>296648.27999999997</v>
      </c>
    </row>
    <row r="288" spans="1:7" x14ac:dyDescent="0.25">
      <c r="A288" t="s">
        <v>641</v>
      </c>
      <c r="B288" t="s">
        <v>393</v>
      </c>
      <c r="C288" t="s">
        <v>463</v>
      </c>
      <c r="D288" s="1">
        <v>43876</v>
      </c>
      <c r="E288" s="2">
        <v>2604</v>
      </c>
      <c r="F288" s="3">
        <v>252.18</v>
      </c>
      <c r="G288" s="3">
        <f t="shared" si="4"/>
        <v>656676.72</v>
      </c>
    </row>
    <row r="289" spans="1:7" x14ac:dyDescent="0.25">
      <c r="A289" t="s">
        <v>92</v>
      </c>
      <c r="B289" t="s">
        <v>397</v>
      </c>
      <c r="C289" t="s">
        <v>413</v>
      </c>
      <c r="D289" s="1">
        <v>43886</v>
      </c>
      <c r="E289" s="2">
        <v>8162</v>
      </c>
      <c r="F289" s="10">
        <v>177.65</v>
      </c>
      <c r="G289" s="10">
        <f t="shared" si="4"/>
        <v>1449979.3</v>
      </c>
    </row>
    <row r="290" spans="1:7" x14ac:dyDescent="0.25">
      <c r="A290" t="s">
        <v>642</v>
      </c>
      <c r="B290" t="s">
        <v>395</v>
      </c>
      <c r="C290" t="s">
        <v>410</v>
      </c>
      <c r="D290" s="1">
        <v>43881</v>
      </c>
      <c r="E290" s="2">
        <v>7271</v>
      </c>
      <c r="F290" s="3">
        <v>107.76</v>
      </c>
      <c r="G290" s="3">
        <f t="shared" si="4"/>
        <v>783522.96000000008</v>
      </c>
    </row>
    <row r="291" spans="1:7" x14ac:dyDescent="0.25">
      <c r="A291" t="s">
        <v>79</v>
      </c>
      <c r="B291" t="s">
        <v>397</v>
      </c>
      <c r="C291" t="s">
        <v>407</v>
      </c>
      <c r="D291" s="1">
        <v>43880</v>
      </c>
      <c r="E291" s="2">
        <v>3291</v>
      </c>
      <c r="F291" s="3">
        <v>446.1</v>
      </c>
      <c r="G291" s="3">
        <f t="shared" si="4"/>
        <v>1468115.1</v>
      </c>
    </row>
    <row r="292" spans="1:7" x14ac:dyDescent="0.25">
      <c r="A292" t="s">
        <v>363</v>
      </c>
      <c r="B292" t="s">
        <v>398</v>
      </c>
      <c r="C292" t="s">
        <v>412</v>
      </c>
      <c r="D292" s="1">
        <v>43883</v>
      </c>
      <c r="E292" s="2">
        <v>7625</v>
      </c>
      <c r="F292" s="3">
        <v>111.55</v>
      </c>
      <c r="G292" s="3">
        <f t="shared" si="4"/>
        <v>850568.75</v>
      </c>
    </row>
    <row r="293" spans="1:7" x14ac:dyDescent="0.25">
      <c r="A293" t="s">
        <v>356</v>
      </c>
      <c r="B293" t="s">
        <v>398</v>
      </c>
      <c r="C293" t="s">
        <v>413</v>
      </c>
      <c r="D293" s="1">
        <v>43838</v>
      </c>
      <c r="E293" s="2">
        <v>4038</v>
      </c>
      <c r="F293" s="10">
        <v>467.51</v>
      </c>
      <c r="G293" s="10">
        <f t="shared" si="4"/>
        <v>1887805.38</v>
      </c>
    </row>
    <row r="294" spans="1:7" x14ac:dyDescent="0.25">
      <c r="A294" t="s">
        <v>643</v>
      </c>
      <c r="B294" t="s">
        <v>399</v>
      </c>
      <c r="C294" t="s">
        <v>413</v>
      </c>
      <c r="D294" s="1">
        <v>43842</v>
      </c>
      <c r="E294" s="2">
        <v>558</v>
      </c>
      <c r="F294" s="10">
        <v>157.87</v>
      </c>
      <c r="G294" s="10">
        <f t="shared" si="4"/>
        <v>88091.46</v>
      </c>
    </row>
    <row r="295" spans="1:7" x14ac:dyDescent="0.25">
      <c r="A295" t="s">
        <v>644</v>
      </c>
      <c r="B295" t="s">
        <v>395</v>
      </c>
      <c r="C295" t="s">
        <v>412</v>
      </c>
      <c r="D295" s="1">
        <v>43865</v>
      </c>
      <c r="E295" s="2">
        <v>1583</v>
      </c>
      <c r="F295" s="3">
        <v>80.38</v>
      </c>
      <c r="G295" s="3">
        <f t="shared" si="4"/>
        <v>127241.54</v>
      </c>
    </row>
    <row r="296" spans="1:7" x14ac:dyDescent="0.25">
      <c r="A296" t="s">
        <v>645</v>
      </c>
      <c r="B296" t="s">
        <v>398</v>
      </c>
      <c r="C296" t="s">
        <v>406</v>
      </c>
      <c r="D296" s="1">
        <v>43858</v>
      </c>
      <c r="E296" s="2">
        <v>2595</v>
      </c>
      <c r="F296" s="3">
        <v>456.39</v>
      </c>
      <c r="G296" s="3">
        <f t="shared" si="4"/>
        <v>1184332.05</v>
      </c>
    </row>
    <row r="297" spans="1:7" x14ac:dyDescent="0.25">
      <c r="A297" t="s">
        <v>646</v>
      </c>
      <c r="B297" t="s">
        <v>394</v>
      </c>
      <c r="C297" t="s">
        <v>463</v>
      </c>
      <c r="D297" s="1">
        <v>43853</v>
      </c>
      <c r="E297" s="2">
        <v>4481</v>
      </c>
      <c r="F297" s="3">
        <v>198.14</v>
      </c>
      <c r="G297" s="3">
        <f t="shared" si="4"/>
        <v>887865.34</v>
      </c>
    </row>
    <row r="298" spans="1:7" x14ac:dyDescent="0.25">
      <c r="A298" t="s">
        <v>647</v>
      </c>
      <c r="B298" t="s">
        <v>393</v>
      </c>
      <c r="C298" t="s">
        <v>411</v>
      </c>
      <c r="D298" s="1">
        <v>43863</v>
      </c>
      <c r="E298" s="2">
        <v>2540</v>
      </c>
      <c r="F298" s="3">
        <v>78.900000000000006</v>
      </c>
      <c r="G298" s="3">
        <f t="shared" si="4"/>
        <v>200406</v>
      </c>
    </row>
    <row r="299" spans="1:7" x14ac:dyDescent="0.25">
      <c r="A299" t="s">
        <v>94</v>
      </c>
      <c r="B299" t="s">
        <v>394</v>
      </c>
      <c r="C299" t="s">
        <v>411</v>
      </c>
      <c r="D299" s="1">
        <v>43844</v>
      </c>
      <c r="E299" s="2">
        <v>5690</v>
      </c>
      <c r="F299" s="3">
        <v>172.41</v>
      </c>
      <c r="G299" s="3">
        <f t="shared" si="4"/>
        <v>981012.9</v>
      </c>
    </row>
    <row r="300" spans="1:7" x14ac:dyDescent="0.25">
      <c r="A300" t="s">
        <v>648</v>
      </c>
      <c r="B300" t="s">
        <v>394</v>
      </c>
      <c r="C300" t="s">
        <v>411</v>
      </c>
      <c r="D300" s="1">
        <v>43881</v>
      </c>
      <c r="E300" s="2">
        <v>2455</v>
      </c>
      <c r="F300" s="3">
        <v>399.46</v>
      </c>
      <c r="G300" s="3">
        <f t="shared" si="4"/>
        <v>980674.29999999993</v>
      </c>
    </row>
    <row r="301" spans="1:7" x14ac:dyDescent="0.25">
      <c r="A301" t="s">
        <v>240</v>
      </c>
      <c r="B301" t="s">
        <v>397</v>
      </c>
      <c r="C301" t="s">
        <v>411</v>
      </c>
      <c r="D301" s="1">
        <v>43846</v>
      </c>
      <c r="E301" s="2">
        <v>8735</v>
      </c>
      <c r="F301" s="3">
        <v>100.89</v>
      </c>
      <c r="G301" s="3">
        <f t="shared" si="4"/>
        <v>881274.15</v>
      </c>
    </row>
    <row r="302" spans="1:7" x14ac:dyDescent="0.25">
      <c r="A302" t="s">
        <v>136</v>
      </c>
      <c r="B302" t="s">
        <v>400</v>
      </c>
      <c r="C302" t="s">
        <v>406</v>
      </c>
      <c r="D302" s="1">
        <v>43886</v>
      </c>
      <c r="E302" s="2">
        <v>780</v>
      </c>
      <c r="F302" s="3">
        <v>377</v>
      </c>
      <c r="G302" s="3">
        <f t="shared" si="4"/>
        <v>294060</v>
      </c>
    </row>
    <row r="303" spans="1:7" x14ac:dyDescent="0.25">
      <c r="A303" t="s">
        <v>649</v>
      </c>
      <c r="B303" t="s">
        <v>396</v>
      </c>
      <c r="C303" t="s">
        <v>401</v>
      </c>
      <c r="D303" s="1">
        <v>43857</v>
      </c>
      <c r="E303" s="2">
        <v>4727</v>
      </c>
      <c r="F303" s="3">
        <v>84.3</v>
      </c>
      <c r="G303" s="3">
        <f t="shared" si="4"/>
        <v>398486.1</v>
      </c>
    </row>
    <row r="304" spans="1:7" x14ac:dyDescent="0.25">
      <c r="A304" t="s">
        <v>204</v>
      </c>
      <c r="B304" t="s">
        <v>395</v>
      </c>
      <c r="C304" t="s">
        <v>463</v>
      </c>
      <c r="D304" s="1">
        <v>43843</v>
      </c>
      <c r="E304" s="2">
        <v>8715</v>
      </c>
      <c r="F304" s="3">
        <v>303.23</v>
      </c>
      <c r="G304" s="3">
        <f t="shared" si="4"/>
        <v>2642649.4500000002</v>
      </c>
    </row>
    <row r="305" spans="1:7" x14ac:dyDescent="0.25">
      <c r="A305" t="s">
        <v>650</v>
      </c>
      <c r="B305" t="s">
        <v>394</v>
      </c>
      <c r="C305" t="s">
        <v>410</v>
      </c>
      <c r="D305" s="1">
        <v>43841</v>
      </c>
      <c r="E305" s="2">
        <v>9774</v>
      </c>
      <c r="F305" s="3">
        <v>277.10000000000002</v>
      </c>
      <c r="G305" s="3">
        <f t="shared" si="4"/>
        <v>2708375.4000000004</v>
      </c>
    </row>
    <row r="306" spans="1:7" x14ac:dyDescent="0.25">
      <c r="A306" t="s">
        <v>651</v>
      </c>
      <c r="B306" t="s">
        <v>393</v>
      </c>
      <c r="C306" t="s">
        <v>406</v>
      </c>
      <c r="D306" s="1">
        <v>43887</v>
      </c>
      <c r="E306" s="2">
        <v>9102</v>
      </c>
      <c r="F306" s="3">
        <v>307.38</v>
      </c>
      <c r="G306" s="3">
        <f t="shared" si="4"/>
        <v>2797772.76</v>
      </c>
    </row>
    <row r="307" spans="1:7" x14ac:dyDescent="0.25">
      <c r="A307" t="s">
        <v>652</v>
      </c>
      <c r="B307" t="s">
        <v>394</v>
      </c>
      <c r="C307" t="s">
        <v>407</v>
      </c>
      <c r="D307" s="1">
        <v>43863</v>
      </c>
      <c r="E307" s="2">
        <v>4812</v>
      </c>
      <c r="F307" s="3">
        <v>156.19999999999999</v>
      </c>
      <c r="G307" s="3">
        <f t="shared" si="4"/>
        <v>751634.39999999991</v>
      </c>
    </row>
    <row r="308" spans="1:7" x14ac:dyDescent="0.25">
      <c r="A308" t="s">
        <v>653</v>
      </c>
      <c r="B308" t="s">
        <v>396</v>
      </c>
      <c r="C308" t="s">
        <v>412</v>
      </c>
      <c r="D308" s="1">
        <v>43858</v>
      </c>
      <c r="E308" s="2">
        <v>817</v>
      </c>
      <c r="F308" s="3">
        <v>106.18</v>
      </c>
      <c r="G308" s="3">
        <f t="shared" si="4"/>
        <v>86749.060000000012</v>
      </c>
    </row>
    <row r="309" spans="1:7" x14ac:dyDescent="0.25">
      <c r="A309" t="s">
        <v>359</v>
      </c>
      <c r="B309" t="s">
        <v>400</v>
      </c>
      <c r="C309" t="s">
        <v>410</v>
      </c>
      <c r="D309" s="1">
        <v>43834</v>
      </c>
      <c r="E309" s="2">
        <v>1337</v>
      </c>
      <c r="F309" s="3">
        <v>126.68</v>
      </c>
      <c r="G309" s="3">
        <f t="shared" si="4"/>
        <v>169371.16</v>
      </c>
    </row>
    <row r="310" spans="1:7" x14ac:dyDescent="0.25">
      <c r="A310" t="s">
        <v>654</v>
      </c>
      <c r="B310" t="s">
        <v>396</v>
      </c>
      <c r="C310" t="s">
        <v>410</v>
      </c>
      <c r="D310" s="1">
        <v>43851</v>
      </c>
      <c r="E310" s="2">
        <v>4317</v>
      </c>
      <c r="F310" s="3">
        <v>281.69</v>
      </c>
      <c r="G310" s="3">
        <f t="shared" si="4"/>
        <v>1216055.73</v>
      </c>
    </row>
    <row r="311" spans="1:7" x14ac:dyDescent="0.25">
      <c r="A311" t="s">
        <v>267</v>
      </c>
      <c r="B311" t="s">
        <v>394</v>
      </c>
      <c r="C311" t="s">
        <v>406</v>
      </c>
      <c r="D311" s="1">
        <v>43877</v>
      </c>
      <c r="E311" s="2">
        <v>4271</v>
      </c>
      <c r="F311" s="3">
        <v>89.59</v>
      </c>
      <c r="G311" s="3">
        <f t="shared" si="4"/>
        <v>382638.89</v>
      </c>
    </row>
    <row r="312" spans="1:7" x14ac:dyDescent="0.25">
      <c r="A312" t="s">
        <v>655</v>
      </c>
      <c r="B312" t="s">
        <v>400</v>
      </c>
      <c r="C312" t="s">
        <v>413</v>
      </c>
      <c r="D312" s="1">
        <v>43871</v>
      </c>
      <c r="E312" s="2">
        <v>2774</v>
      </c>
      <c r="F312" s="10">
        <v>371.11</v>
      </c>
      <c r="G312" s="10">
        <f t="shared" si="4"/>
        <v>1029459.14</v>
      </c>
    </row>
    <row r="313" spans="1:7" x14ac:dyDescent="0.25">
      <c r="A313" t="s">
        <v>656</v>
      </c>
      <c r="B313" t="s">
        <v>394</v>
      </c>
      <c r="C313" t="s">
        <v>401</v>
      </c>
      <c r="D313" s="1">
        <v>43873</v>
      </c>
      <c r="E313" s="2">
        <v>3908</v>
      </c>
      <c r="F313" s="3">
        <v>456.62</v>
      </c>
      <c r="G313" s="3">
        <f t="shared" si="4"/>
        <v>1784470.96</v>
      </c>
    </row>
    <row r="314" spans="1:7" x14ac:dyDescent="0.25">
      <c r="A314" t="s">
        <v>657</v>
      </c>
      <c r="B314" t="s">
        <v>398</v>
      </c>
      <c r="C314" t="s">
        <v>407</v>
      </c>
      <c r="D314" s="1">
        <v>43882</v>
      </c>
      <c r="E314" s="2">
        <v>1867</v>
      </c>
      <c r="F314" s="3">
        <v>495.86</v>
      </c>
      <c r="G314" s="3">
        <f t="shared" si="4"/>
        <v>925770.62</v>
      </c>
    </row>
    <row r="315" spans="1:7" x14ac:dyDescent="0.25">
      <c r="A315" t="s">
        <v>178</v>
      </c>
      <c r="B315" t="s">
        <v>394</v>
      </c>
      <c r="C315" t="s">
        <v>463</v>
      </c>
      <c r="D315" s="1">
        <v>43868</v>
      </c>
      <c r="E315" s="2">
        <v>803</v>
      </c>
      <c r="F315" s="3">
        <v>128.77000000000001</v>
      </c>
      <c r="G315" s="3">
        <f t="shared" si="4"/>
        <v>103402.31000000001</v>
      </c>
    </row>
    <row r="316" spans="1:7" x14ac:dyDescent="0.25">
      <c r="A316" t="s">
        <v>201</v>
      </c>
      <c r="B316" t="s">
        <v>400</v>
      </c>
      <c r="C316" t="s">
        <v>406</v>
      </c>
      <c r="D316" s="1">
        <v>43843</v>
      </c>
      <c r="E316" s="2">
        <v>3167</v>
      </c>
      <c r="F316" s="3">
        <v>498.45</v>
      </c>
      <c r="G316" s="3">
        <f t="shared" si="4"/>
        <v>1578591.15</v>
      </c>
    </row>
    <row r="317" spans="1:7" x14ac:dyDescent="0.25">
      <c r="A317" t="s">
        <v>658</v>
      </c>
      <c r="B317" t="s">
        <v>400</v>
      </c>
      <c r="C317" t="s">
        <v>406</v>
      </c>
      <c r="D317" s="1">
        <v>43882</v>
      </c>
      <c r="E317" s="2">
        <v>2882</v>
      </c>
      <c r="F317" s="3">
        <v>318.52</v>
      </c>
      <c r="G317" s="3">
        <f t="shared" si="4"/>
        <v>917974.6399999999</v>
      </c>
    </row>
    <row r="318" spans="1:7" x14ac:dyDescent="0.25">
      <c r="A318" t="s">
        <v>659</v>
      </c>
      <c r="B318" t="s">
        <v>400</v>
      </c>
      <c r="C318" t="s">
        <v>410</v>
      </c>
      <c r="D318" s="1">
        <v>43867</v>
      </c>
      <c r="E318" s="2">
        <v>6421</v>
      </c>
      <c r="F318" s="3">
        <v>54.45</v>
      </c>
      <c r="G318" s="3">
        <f t="shared" si="4"/>
        <v>349623.45</v>
      </c>
    </row>
    <row r="319" spans="1:7" x14ac:dyDescent="0.25">
      <c r="A319" t="s">
        <v>660</v>
      </c>
      <c r="B319" t="s">
        <v>395</v>
      </c>
      <c r="C319" t="s">
        <v>411</v>
      </c>
      <c r="D319" s="1">
        <v>43832</v>
      </c>
      <c r="E319" s="2">
        <v>8355</v>
      </c>
      <c r="F319" s="3">
        <v>90.92</v>
      </c>
      <c r="G319" s="3">
        <f t="shared" si="4"/>
        <v>759636.6</v>
      </c>
    </row>
    <row r="320" spans="1:7" x14ac:dyDescent="0.25">
      <c r="A320" t="s">
        <v>77</v>
      </c>
      <c r="B320" t="s">
        <v>399</v>
      </c>
      <c r="C320" t="s">
        <v>401</v>
      </c>
      <c r="D320" s="1">
        <v>43839</v>
      </c>
      <c r="E320" s="2">
        <v>7880</v>
      </c>
      <c r="F320" s="3">
        <v>345.03</v>
      </c>
      <c r="G320" s="3">
        <f t="shared" si="4"/>
        <v>2718836.4</v>
      </c>
    </row>
    <row r="321" spans="1:7" x14ac:dyDescent="0.25">
      <c r="A321" t="s">
        <v>661</v>
      </c>
      <c r="B321" t="s">
        <v>395</v>
      </c>
      <c r="C321" t="s">
        <v>411</v>
      </c>
      <c r="D321" s="1">
        <v>43861</v>
      </c>
      <c r="E321" s="2">
        <v>1404</v>
      </c>
      <c r="F321" s="3">
        <v>277.06</v>
      </c>
      <c r="G321" s="3">
        <f t="shared" si="4"/>
        <v>388992.24</v>
      </c>
    </row>
    <row r="322" spans="1:7" x14ac:dyDescent="0.25">
      <c r="A322" t="s">
        <v>150</v>
      </c>
      <c r="B322" t="s">
        <v>397</v>
      </c>
      <c r="C322" t="s">
        <v>413</v>
      </c>
      <c r="D322" s="1">
        <v>43852</v>
      </c>
      <c r="E322" s="2">
        <v>9028</v>
      </c>
      <c r="F322" s="10">
        <v>359.76</v>
      </c>
      <c r="G322" s="10">
        <f t="shared" si="4"/>
        <v>3247913.28</v>
      </c>
    </row>
    <row r="323" spans="1:7" x14ac:dyDescent="0.25">
      <c r="A323" t="s">
        <v>297</v>
      </c>
      <c r="B323" t="s">
        <v>398</v>
      </c>
      <c r="C323" t="s">
        <v>407</v>
      </c>
      <c r="D323" s="1">
        <v>43881</v>
      </c>
      <c r="E323" s="2">
        <v>5662</v>
      </c>
      <c r="F323" s="3">
        <v>247.1</v>
      </c>
      <c r="G323" s="3">
        <f t="shared" ref="G323:G386" si="5">E323*F323</f>
        <v>1399080.2</v>
      </c>
    </row>
    <row r="324" spans="1:7" x14ac:dyDescent="0.25">
      <c r="A324" t="s">
        <v>662</v>
      </c>
      <c r="B324" t="s">
        <v>398</v>
      </c>
      <c r="C324" t="s">
        <v>411</v>
      </c>
      <c r="D324" s="1">
        <v>43880</v>
      </c>
      <c r="E324" s="2">
        <v>630</v>
      </c>
      <c r="F324" s="3">
        <v>123.79</v>
      </c>
      <c r="G324" s="3">
        <f t="shared" si="5"/>
        <v>77987.7</v>
      </c>
    </row>
    <row r="325" spans="1:7" x14ac:dyDescent="0.25">
      <c r="A325" t="s">
        <v>663</v>
      </c>
      <c r="B325" t="s">
        <v>399</v>
      </c>
      <c r="C325" t="s">
        <v>413</v>
      </c>
      <c r="D325" s="1">
        <v>43840</v>
      </c>
      <c r="E325" s="2">
        <v>8986</v>
      </c>
      <c r="F325" s="10">
        <v>212.95</v>
      </c>
      <c r="G325" s="10">
        <f t="shared" si="5"/>
        <v>1913568.7</v>
      </c>
    </row>
    <row r="326" spans="1:7" x14ac:dyDescent="0.25">
      <c r="A326" t="s">
        <v>664</v>
      </c>
      <c r="B326" t="s">
        <v>398</v>
      </c>
      <c r="C326" t="s">
        <v>463</v>
      </c>
      <c r="D326" s="1">
        <v>43860</v>
      </c>
      <c r="E326" s="2">
        <v>6760</v>
      </c>
      <c r="F326" s="3">
        <v>117.18</v>
      </c>
      <c r="G326" s="3">
        <f t="shared" si="5"/>
        <v>792136.8</v>
      </c>
    </row>
    <row r="327" spans="1:7" x14ac:dyDescent="0.25">
      <c r="A327" t="s">
        <v>665</v>
      </c>
      <c r="B327" t="s">
        <v>400</v>
      </c>
      <c r="C327" t="s">
        <v>463</v>
      </c>
      <c r="D327" s="1">
        <v>43868</v>
      </c>
      <c r="E327" s="2">
        <v>2903</v>
      </c>
      <c r="F327" s="3">
        <v>291.49</v>
      </c>
      <c r="G327" s="3">
        <f t="shared" si="5"/>
        <v>846195.47</v>
      </c>
    </row>
    <row r="328" spans="1:7" x14ac:dyDescent="0.25">
      <c r="A328" t="s">
        <v>161</v>
      </c>
      <c r="B328" t="s">
        <v>395</v>
      </c>
      <c r="C328" t="s">
        <v>412</v>
      </c>
      <c r="D328" s="1">
        <v>43887</v>
      </c>
      <c r="E328" s="2">
        <v>7940</v>
      </c>
      <c r="F328" s="3">
        <v>324.77</v>
      </c>
      <c r="G328" s="3">
        <f t="shared" si="5"/>
        <v>2578673.7999999998</v>
      </c>
    </row>
    <row r="329" spans="1:7" x14ac:dyDescent="0.25">
      <c r="A329" t="s">
        <v>666</v>
      </c>
      <c r="B329" t="s">
        <v>400</v>
      </c>
      <c r="C329" t="s">
        <v>411</v>
      </c>
      <c r="D329" s="1">
        <v>43874</v>
      </c>
      <c r="E329" s="2">
        <v>1659</v>
      </c>
      <c r="F329" s="3">
        <v>121.56</v>
      </c>
      <c r="G329" s="3">
        <f t="shared" si="5"/>
        <v>201668.04</v>
      </c>
    </row>
    <row r="330" spans="1:7" x14ac:dyDescent="0.25">
      <c r="A330" t="s">
        <v>667</v>
      </c>
      <c r="B330" t="s">
        <v>393</v>
      </c>
      <c r="C330" t="s">
        <v>406</v>
      </c>
      <c r="D330" s="1">
        <v>43839</v>
      </c>
      <c r="E330" s="2">
        <v>321</v>
      </c>
      <c r="F330" s="3">
        <v>417.27</v>
      </c>
      <c r="G330" s="3">
        <f t="shared" si="5"/>
        <v>133943.66999999998</v>
      </c>
    </row>
    <row r="331" spans="1:7" x14ac:dyDescent="0.25">
      <c r="A331" t="s">
        <v>668</v>
      </c>
      <c r="B331" t="s">
        <v>399</v>
      </c>
      <c r="C331" t="s">
        <v>411</v>
      </c>
      <c r="D331" s="1">
        <v>43833</v>
      </c>
      <c r="E331" s="2">
        <v>5082</v>
      </c>
      <c r="F331" s="3">
        <v>182.49</v>
      </c>
      <c r="G331" s="3">
        <f t="shared" si="5"/>
        <v>927414.18</v>
      </c>
    </row>
    <row r="332" spans="1:7" x14ac:dyDescent="0.25">
      <c r="A332" t="s">
        <v>669</v>
      </c>
      <c r="B332" t="s">
        <v>395</v>
      </c>
      <c r="C332" t="s">
        <v>407</v>
      </c>
      <c r="D332" s="1">
        <v>43834</v>
      </c>
      <c r="E332" s="2">
        <v>8525</v>
      </c>
      <c r="F332" s="3">
        <v>399.42</v>
      </c>
      <c r="G332" s="3">
        <f t="shared" si="5"/>
        <v>3405055.5</v>
      </c>
    </row>
    <row r="333" spans="1:7" x14ac:dyDescent="0.25">
      <c r="A333" t="s">
        <v>206</v>
      </c>
      <c r="B333" t="s">
        <v>398</v>
      </c>
      <c r="C333" t="s">
        <v>407</v>
      </c>
      <c r="D333" s="1">
        <v>43868</v>
      </c>
      <c r="E333" s="2">
        <v>6105</v>
      </c>
      <c r="F333" s="3">
        <v>478.13</v>
      </c>
      <c r="G333" s="3">
        <f t="shared" si="5"/>
        <v>2918983.65</v>
      </c>
    </row>
    <row r="334" spans="1:7" x14ac:dyDescent="0.25">
      <c r="A334" t="s">
        <v>281</v>
      </c>
      <c r="B334" t="s">
        <v>398</v>
      </c>
      <c r="C334" t="s">
        <v>401</v>
      </c>
      <c r="D334" s="1">
        <v>43839</v>
      </c>
      <c r="E334" s="2">
        <v>3352</v>
      </c>
      <c r="F334" s="3">
        <v>194.94</v>
      </c>
      <c r="G334" s="3">
        <f t="shared" si="5"/>
        <v>653438.88</v>
      </c>
    </row>
    <row r="335" spans="1:7" x14ac:dyDescent="0.25">
      <c r="A335" t="s">
        <v>670</v>
      </c>
      <c r="B335" t="s">
        <v>400</v>
      </c>
      <c r="C335" t="s">
        <v>406</v>
      </c>
      <c r="D335" s="1">
        <v>43873</v>
      </c>
      <c r="E335" s="2">
        <v>1821</v>
      </c>
      <c r="F335" s="3">
        <v>473.13</v>
      </c>
      <c r="G335" s="3">
        <f t="shared" si="5"/>
        <v>861569.73</v>
      </c>
    </row>
    <row r="336" spans="1:7" x14ac:dyDescent="0.25">
      <c r="A336" t="s">
        <v>671</v>
      </c>
      <c r="B336" t="s">
        <v>396</v>
      </c>
      <c r="C336" t="s">
        <v>406</v>
      </c>
      <c r="D336" s="1">
        <v>43881</v>
      </c>
      <c r="E336" s="2">
        <v>8715</v>
      </c>
      <c r="F336" s="3">
        <v>269.25</v>
      </c>
      <c r="G336" s="3">
        <f t="shared" si="5"/>
        <v>2346513.75</v>
      </c>
    </row>
    <row r="337" spans="1:7" x14ac:dyDescent="0.25">
      <c r="A337" t="s">
        <v>672</v>
      </c>
      <c r="B337" t="s">
        <v>399</v>
      </c>
      <c r="C337" t="s">
        <v>413</v>
      </c>
      <c r="D337" s="1">
        <v>43857</v>
      </c>
      <c r="E337" s="2">
        <v>8152</v>
      </c>
      <c r="F337" s="10">
        <v>132.26</v>
      </c>
      <c r="G337" s="10">
        <f t="shared" si="5"/>
        <v>1078183.52</v>
      </c>
    </row>
    <row r="338" spans="1:7" x14ac:dyDescent="0.25">
      <c r="A338" t="s">
        <v>144</v>
      </c>
      <c r="B338" t="s">
        <v>396</v>
      </c>
      <c r="C338" t="s">
        <v>413</v>
      </c>
      <c r="D338" s="1">
        <v>43873</v>
      </c>
      <c r="E338" s="2">
        <v>4059</v>
      </c>
      <c r="F338" s="10">
        <v>443.24</v>
      </c>
      <c r="G338" s="10">
        <f t="shared" si="5"/>
        <v>1799111.1600000001</v>
      </c>
    </row>
    <row r="339" spans="1:7" x14ac:dyDescent="0.25">
      <c r="A339" t="s">
        <v>122</v>
      </c>
      <c r="B339" t="s">
        <v>394</v>
      </c>
      <c r="C339" t="s">
        <v>412</v>
      </c>
      <c r="D339" s="1">
        <v>43831</v>
      </c>
      <c r="E339" s="2">
        <v>1734</v>
      </c>
      <c r="F339" s="3">
        <v>71.95</v>
      </c>
      <c r="G339" s="3">
        <f t="shared" si="5"/>
        <v>124761.3</v>
      </c>
    </row>
    <row r="340" spans="1:7" x14ac:dyDescent="0.25">
      <c r="A340" t="s">
        <v>673</v>
      </c>
      <c r="B340" t="s">
        <v>398</v>
      </c>
      <c r="C340" t="s">
        <v>463</v>
      </c>
      <c r="D340" s="1">
        <v>43848</v>
      </c>
      <c r="E340" s="2">
        <v>404</v>
      </c>
      <c r="F340" s="3">
        <v>243.27</v>
      </c>
      <c r="G340" s="3">
        <f t="shared" si="5"/>
        <v>98281.08</v>
      </c>
    </row>
    <row r="341" spans="1:7" x14ac:dyDescent="0.25">
      <c r="A341" t="s">
        <v>674</v>
      </c>
      <c r="B341" t="s">
        <v>399</v>
      </c>
      <c r="C341" t="s">
        <v>413</v>
      </c>
      <c r="D341" s="1">
        <v>43864</v>
      </c>
      <c r="E341" s="2">
        <v>4128</v>
      </c>
      <c r="F341" s="10">
        <v>224.13</v>
      </c>
      <c r="G341" s="10">
        <f t="shared" si="5"/>
        <v>925208.64</v>
      </c>
    </row>
    <row r="342" spans="1:7" x14ac:dyDescent="0.25">
      <c r="A342" t="s">
        <v>675</v>
      </c>
      <c r="B342" t="s">
        <v>395</v>
      </c>
      <c r="C342" t="s">
        <v>410</v>
      </c>
      <c r="D342" s="1">
        <v>43890</v>
      </c>
      <c r="E342" s="2">
        <v>9815</v>
      </c>
      <c r="F342" s="3">
        <v>89.58</v>
      </c>
      <c r="G342" s="3">
        <f t="shared" si="5"/>
        <v>879227.7</v>
      </c>
    </row>
    <row r="343" spans="1:7" x14ac:dyDescent="0.25">
      <c r="A343" t="s">
        <v>68</v>
      </c>
      <c r="B343" t="s">
        <v>398</v>
      </c>
      <c r="C343" t="s">
        <v>406</v>
      </c>
      <c r="D343" s="1">
        <v>43876</v>
      </c>
      <c r="E343" s="2">
        <v>5268</v>
      </c>
      <c r="F343" s="3">
        <v>206.46</v>
      </c>
      <c r="G343" s="3">
        <f t="shared" si="5"/>
        <v>1087631.28</v>
      </c>
    </row>
    <row r="344" spans="1:7" x14ac:dyDescent="0.25">
      <c r="A344" t="s">
        <v>258</v>
      </c>
      <c r="B344" t="s">
        <v>396</v>
      </c>
      <c r="C344" t="s">
        <v>406</v>
      </c>
      <c r="D344" s="1">
        <v>43886</v>
      </c>
      <c r="E344" s="2">
        <v>1920</v>
      </c>
      <c r="F344" s="3">
        <v>423.07</v>
      </c>
      <c r="G344" s="3">
        <f t="shared" si="5"/>
        <v>812294.4</v>
      </c>
    </row>
    <row r="345" spans="1:7" x14ac:dyDescent="0.25">
      <c r="A345" t="s">
        <v>676</v>
      </c>
      <c r="B345" t="s">
        <v>394</v>
      </c>
      <c r="C345" t="s">
        <v>406</v>
      </c>
      <c r="D345" s="1">
        <v>43881</v>
      </c>
      <c r="E345" s="2">
        <v>7196</v>
      </c>
      <c r="F345" s="3">
        <v>276.68</v>
      </c>
      <c r="G345" s="3">
        <f t="shared" si="5"/>
        <v>1990989.28</v>
      </c>
    </row>
    <row r="346" spans="1:7" x14ac:dyDescent="0.25">
      <c r="A346" t="s">
        <v>62</v>
      </c>
      <c r="B346" t="s">
        <v>399</v>
      </c>
      <c r="C346" t="s">
        <v>413</v>
      </c>
      <c r="D346" s="1">
        <v>43872</v>
      </c>
      <c r="E346" s="2">
        <v>4868</v>
      </c>
      <c r="F346" s="10">
        <v>457.76</v>
      </c>
      <c r="G346" s="10">
        <f t="shared" si="5"/>
        <v>2228375.6800000002</v>
      </c>
    </row>
    <row r="347" spans="1:7" x14ac:dyDescent="0.25">
      <c r="A347" t="s">
        <v>51</v>
      </c>
      <c r="B347" t="s">
        <v>398</v>
      </c>
      <c r="C347" t="s">
        <v>401</v>
      </c>
      <c r="D347" s="1">
        <v>43846</v>
      </c>
      <c r="E347" s="2">
        <v>8530</v>
      </c>
      <c r="F347" s="3">
        <v>221.82</v>
      </c>
      <c r="G347" s="3">
        <f t="shared" si="5"/>
        <v>1892124.5999999999</v>
      </c>
    </row>
    <row r="348" spans="1:7" x14ac:dyDescent="0.25">
      <c r="A348" t="s">
        <v>677</v>
      </c>
      <c r="B348" t="s">
        <v>394</v>
      </c>
      <c r="C348" t="s">
        <v>412</v>
      </c>
      <c r="D348" s="1">
        <v>43844</v>
      </c>
      <c r="E348" s="2">
        <v>3712</v>
      </c>
      <c r="F348" s="3">
        <v>327.23</v>
      </c>
      <c r="G348" s="3">
        <f t="shared" si="5"/>
        <v>1214677.76</v>
      </c>
    </row>
    <row r="349" spans="1:7" x14ac:dyDescent="0.25">
      <c r="A349" t="s">
        <v>273</v>
      </c>
      <c r="B349" t="s">
        <v>398</v>
      </c>
      <c r="C349" t="s">
        <v>406</v>
      </c>
      <c r="D349" s="1">
        <v>43883</v>
      </c>
      <c r="E349" s="2">
        <v>6792</v>
      </c>
      <c r="F349" s="3">
        <v>250.43</v>
      </c>
      <c r="G349" s="3">
        <f t="shared" si="5"/>
        <v>1700920.56</v>
      </c>
    </row>
    <row r="350" spans="1:7" x14ac:dyDescent="0.25">
      <c r="A350" t="s">
        <v>678</v>
      </c>
      <c r="B350" t="s">
        <v>399</v>
      </c>
      <c r="C350" t="s">
        <v>412</v>
      </c>
      <c r="D350" s="1">
        <v>43863</v>
      </c>
      <c r="E350" s="2">
        <v>4373</v>
      </c>
      <c r="F350" s="3">
        <v>147.99</v>
      </c>
      <c r="G350" s="3">
        <f t="shared" si="5"/>
        <v>647160.27</v>
      </c>
    </row>
    <row r="351" spans="1:7" x14ac:dyDescent="0.25">
      <c r="A351" t="s">
        <v>80</v>
      </c>
      <c r="B351" t="s">
        <v>400</v>
      </c>
      <c r="C351" t="s">
        <v>410</v>
      </c>
      <c r="D351" s="1">
        <v>43862</v>
      </c>
      <c r="E351" s="2">
        <v>2619</v>
      </c>
      <c r="F351" s="3">
        <v>472.16</v>
      </c>
      <c r="G351" s="3">
        <f t="shared" si="5"/>
        <v>1236587.04</v>
      </c>
    </row>
    <row r="352" spans="1:7" x14ac:dyDescent="0.25">
      <c r="A352" t="s">
        <v>679</v>
      </c>
      <c r="B352" t="s">
        <v>397</v>
      </c>
      <c r="C352" t="s">
        <v>463</v>
      </c>
      <c r="D352" s="1">
        <v>43877</v>
      </c>
      <c r="E352" s="2">
        <v>8469</v>
      </c>
      <c r="F352" s="3">
        <v>481.76</v>
      </c>
      <c r="G352" s="3">
        <f t="shared" si="5"/>
        <v>4080025.44</v>
      </c>
    </row>
    <row r="353" spans="1:7" x14ac:dyDescent="0.25">
      <c r="A353" t="s">
        <v>117</v>
      </c>
      <c r="B353" t="s">
        <v>400</v>
      </c>
      <c r="C353" t="s">
        <v>401</v>
      </c>
      <c r="D353" s="1">
        <v>43859</v>
      </c>
      <c r="E353" s="2">
        <v>5578</v>
      </c>
      <c r="F353" s="3">
        <v>62.34</v>
      </c>
      <c r="G353" s="3">
        <f t="shared" si="5"/>
        <v>347732.52</v>
      </c>
    </row>
    <row r="354" spans="1:7" x14ac:dyDescent="0.25">
      <c r="A354" t="s">
        <v>382</v>
      </c>
      <c r="B354" t="s">
        <v>399</v>
      </c>
      <c r="C354" t="s">
        <v>407</v>
      </c>
      <c r="D354" s="1">
        <v>43875</v>
      </c>
      <c r="E354" s="2">
        <v>3764</v>
      </c>
      <c r="F354" s="3">
        <v>171.4</v>
      </c>
      <c r="G354" s="3">
        <f t="shared" si="5"/>
        <v>645149.6</v>
      </c>
    </row>
    <row r="355" spans="1:7" x14ac:dyDescent="0.25">
      <c r="A355" t="s">
        <v>680</v>
      </c>
      <c r="B355" t="s">
        <v>396</v>
      </c>
      <c r="C355" t="s">
        <v>406</v>
      </c>
      <c r="D355" s="1">
        <v>43836</v>
      </c>
      <c r="E355" s="2">
        <v>3339</v>
      </c>
      <c r="F355" s="3">
        <v>244.26</v>
      </c>
      <c r="G355" s="3">
        <f t="shared" si="5"/>
        <v>815584.14</v>
      </c>
    </row>
    <row r="356" spans="1:7" x14ac:dyDescent="0.25">
      <c r="A356" t="s">
        <v>99</v>
      </c>
      <c r="B356" t="s">
        <v>396</v>
      </c>
      <c r="C356" t="s">
        <v>407</v>
      </c>
      <c r="D356" s="1">
        <v>43869</v>
      </c>
      <c r="E356" s="2">
        <v>1716</v>
      </c>
      <c r="F356" s="3">
        <v>399.13</v>
      </c>
      <c r="G356" s="3">
        <f t="shared" si="5"/>
        <v>684907.08</v>
      </c>
    </row>
    <row r="357" spans="1:7" x14ac:dyDescent="0.25">
      <c r="A357" t="s">
        <v>681</v>
      </c>
      <c r="B357" t="s">
        <v>395</v>
      </c>
      <c r="C357" t="s">
        <v>401</v>
      </c>
      <c r="D357" s="1">
        <v>43883</v>
      </c>
      <c r="E357" s="2">
        <v>5437</v>
      </c>
      <c r="F357" s="3">
        <v>367.03</v>
      </c>
      <c r="G357" s="3">
        <f t="shared" si="5"/>
        <v>1995542.1099999999</v>
      </c>
    </row>
    <row r="358" spans="1:7" x14ac:dyDescent="0.25">
      <c r="A358" t="s">
        <v>682</v>
      </c>
      <c r="B358" t="s">
        <v>395</v>
      </c>
      <c r="C358" t="s">
        <v>413</v>
      </c>
      <c r="D358" s="1">
        <v>43879</v>
      </c>
      <c r="E358" s="2">
        <v>5103</v>
      </c>
      <c r="F358" s="10">
        <v>482.04</v>
      </c>
      <c r="G358" s="10">
        <f t="shared" si="5"/>
        <v>2459850.12</v>
      </c>
    </row>
    <row r="359" spans="1:7" x14ac:dyDescent="0.25">
      <c r="A359" t="s">
        <v>255</v>
      </c>
      <c r="B359" t="s">
        <v>395</v>
      </c>
      <c r="C359" t="s">
        <v>406</v>
      </c>
      <c r="D359" s="1">
        <v>43856</v>
      </c>
      <c r="E359" s="2">
        <v>2518</v>
      </c>
      <c r="F359" s="3">
        <v>268.43</v>
      </c>
      <c r="G359" s="3">
        <f t="shared" si="5"/>
        <v>675906.74</v>
      </c>
    </row>
    <row r="360" spans="1:7" x14ac:dyDescent="0.25">
      <c r="A360" t="s">
        <v>683</v>
      </c>
      <c r="B360" t="s">
        <v>399</v>
      </c>
      <c r="C360" t="s">
        <v>411</v>
      </c>
      <c r="D360" s="1">
        <v>43869</v>
      </c>
      <c r="E360" s="2">
        <v>8927</v>
      </c>
      <c r="F360" s="3">
        <v>247.38</v>
      </c>
      <c r="G360" s="3">
        <f t="shared" si="5"/>
        <v>2208361.2599999998</v>
      </c>
    </row>
    <row r="361" spans="1:7" x14ac:dyDescent="0.25">
      <c r="A361" t="s">
        <v>248</v>
      </c>
      <c r="B361" t="s">
        <v>393</v>
      </c>
      <c r="C361" t="s">
        <v>463</v>
      </c>
      <c r="D361" s="1">
        <v>43867</v>
      </c>
      <c r="E361" s="2">
        <v>3222</v>
      </c>
      <c r="F361" s="3">
        <v>349.79</v>
      </c>
      <c r="G361" s="3">
        <f t="shared" si="5"/>
        <v>1127023.3800000001</v>
      </c>
    </row>
    <row r="362" spans="1:7" x14ac:dyDescent="0.25">
      <c r="A362" t="s">
        <v>684</v>
      </c>
      <c r="B362" t="s">
        <v>399</v>
      </c>
      <c r="C362" t="s">
        <v>401</v>
      </c>
      <c r="D362" s="1">
        <v>43869</v>
      </c>
      <c r="E362" s="2">
        <v>7676</v>
      </c>
      <c r="F362" s="3">
        <v>203.27</v>
      </c>
      <c r="G362" s="3">
        <f t="shared" si="5"/>
        <v>1560300.52</v>
      </c>
    </row>
    <row r="363" spans="1:7" x14ac:dyDescent="0.25">
      <c r="A363" t="s">
        <v>685</v>
      </c>
      <c r="B363" t="s">
        <v>393</v>
      </c>
      <c r="C363" t="s">
        <v>410</v>
      </c>
      <c r="D363" s="1">
        <v>43844</v>
      </c>
      <c r="E363" s="2">
        <v>8542</v>
      </c>
      <c r="F363" s="3">
        <v>301.05</v>
      </c>
      <c r="G363" s="3">
        <f t="shared" si="5"/>
        <v>2571569.1</v>
      </c>
    </row>
    <row r="364" spans="1:7" x14ac:dyDescent="0.25">
      <c r="A364" t="s">
        <v>686</v>
      </c>
      <c r="B364" t="s">
        <v>394</v>
      </c>
      <c r="C364" t="s">
        <v>463</v>
      </c>
      <c r="D364" s="1">
        <v>43834</v>
      </c>
      <c r="E364" s="2">
        <v>8564</v>
      </c>
      <c r="F364" s="3">
        <v>106.1</v>
      </c>
      <c r="G364" s="3">
        <f t="shared" si="5"/>
        <v>908640.39999999991</v>
      </c>
    </row>
    <row r="365" spans="1:7" x14ac:dyDescent="0.25">
      <c r="A365" t="s">
        <v>687</v>
      </c>
      <c r="B365" t="s">
        <v>400</v>
      </c>
      <c r="C365" t="s">
        <v>406</v>
      </c>
      <c r="D365" s="1">
        <v>43848</v>
      </c>
      <c r="E365" s="2">
        <v>1392</v>
      </c>
      <c r="F365" s="3">
        <v>89.47</v>
      </c>
      <c r="G365" s="3">
        <f t="shared" si="5"/>
        <v>124542.24</v>
      </c>
    </row>
    <row r="366" spans="1:7" x14ac:dyDescent="0.25">
      <c r="A366" t="s">
        <v>84</v>
      </c>
      <c r="B366" t="s">
        <v>400</v>
      </c>
      <c r="C366" t="s">
        <v>401</v>
      </c>
      <c r="D366" s="1">
        <v>43841</v>
      </c>
      <c r="E366" s="2">
        <v>7208</v>
      </c>
      <c r="F366" s="3">
        <v>485.49</v>
      </c>
      <c r="G366" s="3">
        <f t="shared" si="5"/>
        <v>3499411.92</v>
      </c>
    </row>
    <row r="367" spans="1:7" x14ac:dyDescent="0.25">
      <c r="A367" t="s">
        <v>688</v>
      </c>
      <c r="B367" t="s">
        <v>395</v>
      </c>
      <c r="C367" t="s">
        <v>412</v>
      </c>
      <c r="D367" s="1">
        <v>43840</v>
      </c>
      <c r="E367" s="2">
        <v>5858</v>
      </c>
      <c r="F367" s="3">
        <v>462.68</v>
      </c>
      <c r="G367" s="3">
        <f t="shared" si="5"/>
        <v>2710379.44</v>
      </c>
    </row>
    <row r="368" spans="1:7" x14ac:dyDescent="0.25">
      <c r="A368" t="s">
        <v>154</v>
      </c>
      <c r="B368" t="s">
        <v>395</v>
      </c>
      <c r="C368" t="s">
        <v>407</v>
      </c>
      <c r="D368" s="1">
        <v>43864</v>
      </c>
      <c r="E368" s="2">
        <v>9847</v>
      </c>
      <c r="F368" s="3">
        <v>338.4</v>
      </c>
      <c r="G368" s="3">
        <f t="shared" si="5"/>
        <v>3332224.8</v>
      </c>
    </row>
    <row r="369" spans="1:7" x14ac:dyDescent="0.25">
      <c r="A369" t="s">
        <v>689</v>
      </c>
      <c r="B369" t="s">
        <v>396</v>
      </c>
      <c r="C369" t="s">
        <v>407</v>
      </c>
      <c r="D369" s="1">
        <v>43881</v>
      </c>
      <c r="E369" s="2">
        <v>8942</v>
      </c>
      <c r="F369" s="3">
        <v>379.75</v>
      </c>
      <c r="G369" s="3">
        <f t="shared" si="5"/>
        <v>3395724.5</v>
      </c>
    </row>
    <row r="370" spans="1:7" x14ac:dyDescent="0.25">
      <c r="A370" t="s">
        <v>690</v>
      </c>
      <c r="B370" t="s">
        <v>400</v>
      </c>
      <c r="C370" t="s">
        <v>401</v>
      </c>
      <c r="D370" s="1">
        <v>43855</v>
      </c>
      <c r="E370" s="2">
        <v>1254</v>
      </c>
      <c r="F370" s="3">
        <v>400.65</v>
      </c>
      <c r="G370" s="3">
        <f t="shared" si="5"/>
        <v>502415.1</v>
      </c>
    </row>
    <row r="371" spans="1:7" x14ac:dyDescent="0.25">
      <c r="A371" t="s">
        <v>229</v>
      </c>
      <c r="B371" t="s">
        <v>399</v>
      </c>
      <c r="C371" t="s">
        <v>463</v>
      </c>
      <c r="D371" s="1">
        <v>43840</v>
      </c>
      <c r="E371" s="2">
        <v>8547</v>
      </c>
      <c r="F371" s="3">
        <v>145.13999999999999</v>
      </c>
      <c r="G371" s="3">
        <f t="shared" si="5"/>
        <v>1240511.5799999998</v>
      </c>
    </row>
    <row r="372" spans="1:7" x14ac:dyDescent="0.25">
      <c r="A372" t="s">
        <v>383</v>
      </c>
      <c r="B372" t="s">
        <v>398</v>
      </c>
      <c r="C372" t="s">
        <v>410</v>
      </c>
      <c r="D372" s="1">
        <v>43883</v>
      </c>
      <c r="E372" s="2">
        <v>333</v>
      </c>
      <c r="F372" s="3">
        <v>265.44</v>
      </c>
      <c r="G372" s="3">
        <f t="shared" si="5"/>
        <v>88391.52</v>
      </c>
    </row>
    <row r="373" spans="1:7" x14ac:dyDescent="0.25">
      <c r="A373" t="s">
        <v>321</v>
      </c>
      <c r="B373" t="s">
        <v>397</v>
      </c>
      <c r="C373" t="s">
        <v>410</v>
      </c>
      <c r="D373" s="1">
        <v>43847</v>
      </c>
      <c r="E373" s="2">
        <v>5942</v>
      </c>
      <c r="F373" s="3">
        <v>439.38</v>
      </c>
      <c r="G373" s="3">
        <f t="shared" si="5"/>
        <v>2610795.96</v>
      </c>
    </row>
    <row r="374" spans="1:7" x14ac:dyDescent="0.25">
      <c r="A374" t="s">
        <v>691</v>
      </c>
      <c r="B374" t="s">
        <v>393</v>
      </c>
      <c r="C374" t="s">
        <v>401</v>
      </c>
      <c r="D374" s="1">
        <v>43885</v>
      </c>
      <c r="E374" s="2">
        <v>8768</v>
      </c>
      <c r="F374" s="3">
        <v>434.82</v>
      </c>
      <c r="G374" s="3">
        <f t="shared" si="5"/>
        <v>3812501.76</v>
      </c>
    </row>
    <row r="375" spans="1:7" x14ac:dyDescent="0.25">
      <c r="A375" t="s">
        <v>692</v>
      </c>
      <c r="B375" t="s">
        <v>400</v>
      </c>
      <c r="C375" t="s">
        <v>411</v>
      </c>
      <c r="D375" s="1">
        <v>43878</v>
      </c>
      <c r="E375" s="2">
        <v>1621</v>
      </c>
      <c r="F375" s="3">
        <v>292.74</v>
      </c>
      <c r="G375" s="3">
        <f t="shared" si="5"/>
        <v>474531.54000000004</v>
      </c>
    </row>
    <row r="376" spans="1:7" x14ac:dyDescent="0.25">
      <c r="A376" t="s">
        <v>164</v>
      </c>
      <c r="B376" t="s">
        <v>397</v>
      </c>
      <c r="C376" t="s">
        <v>410</v>
      </c>
      <c r="D376" s="1">
        <v>43858</v>
      </c>
      <c r="E376" s="2">
        <v>4528</v>
      </c>
      <c r="F376" s="3">
        <v>153</v>
      </c>
      <c r="G376" s="3">
        <f t="shared" si="5"/>
        <v>692784</v>
      </c>
    </row>
    <row r="377" spans="1:7" x14ac:dyDescent="0.25">
      <c r="A377" t="s">
        <v>83</v>
      </c>
      <c r="B377" t="s">
        <v>399</v>
      </c>
      <c r="C377" t="s">
        <v>408</v>
      </c>
      <c r="D377" s="1">
        <v>43864</v>
      </c>
      <c r="E377" s="2">
        <v>5678</v>
      </c>
      <c r="F377" s="3">
        <v>338.8</v>
      </c>
      <c r="G377" s="3">
        <f t="shared" si="5"/>
        <v>1923706.4000000001</v>
      </c>
    </row>
    <row r="378" spans="1:7" x14ac:dyDescent="0.25">
      <c r="A378" t="s">
        <v>693</v>
      </c>
      <c r="B378" t="s">
        <v>394</v>
      </c>
      <c r="C378" t="s">
        <v>463</v>
      </c>
      <c r="D378" s="1">
        <v>43847</v>
      </c>
      <c r="E378" s="2">
        <v>502</v>
      </c>
      <c r="F378" s="3">
        <v>115.84</v>
      </c>
      <c r="G378" s="3">
        <f t="shared" si="5"/>
        <v>58151.68</v>
      </c>
    </row>
    <row r="379" spans="1:7" x14ac:dyDescent="0.25">
      <c r="A379" t="s">
        <v>694</v>
      </c>
      <c r="B379" t="s">
        <v>394</v>
      </c>
      <c r="C379" t="s">
        <v>410</v>
      </c>
      <c r="D379" s="1">
        <v>43833</v>
      </c>
      <c r="E379" s="2">
        <v>9763</v>
      </c>
      <c r="F379" s="3">
        <v>478.55</v>
      </c>
      <c r="G379" s="3">
        <f t="shared" si="5"/>
        <v>4672083.6500000004</v>
      </c>
    </row>
    <row r="380" spans="1:7" x14ac:dyDescent="0.25">
      <c r="A380" t="s">
        <v>695</v>
      </c>
      <c r="B380" t="s">
        <v>395</v>
      </c>
      <c r="C380" t="s">
        <v>406</v>
      </c>
      <c r="D380" s="1">
        <v>43883</v>
      </c>
      <c r="E380" s="2">
        <v>8196</v>
      </c>
      <c r="F380" s="3">
        <v>91.34</v>
      </c>
      <c r="G380" s="3">
        <f t="shared" si="5"/>
        <v>748622.64</v>
      </c>
    </row>
    <row r="381" spans="1:7" x14ac:dyDescent="0.25">
      <c r="A381" t="s">
        <v>696</v>
      </c>
      <c r="B381" t="s">
        <v>399</v>
      </c>
      <c r="C381" t="s">
        <v>412</v>
      </c>
      <c r="D381" s="1">
        <v>43854</v>
      </c>
      <c r="E381" s="2">
        <v>6103</v>
      </c>
      <c r="F381" s="3">
        <v>365.87</v>
      </c>
      <c r="G381" s="3">
        <f t="shared" si="5"/>
        <v>2232904.61</v>
      </c>
    </row>
    <row r="382" spans="1:7" x14ac:dyDescent="0.25">
      <c r="A382" t="s">
        <v>49</v>
      </c>
      <c r="B382" t="s">
        <v>400</v>
      </c>
      <c r="C382" t="s">
        <v>410</v>
      </c>
      <c r="D382" s="1">
        <v>43843</v>
      </c>
      <c r="E382" s="2">
        <v>769</v>
      </c>
      <c r="F382" s="3">
        <v>422.88</v>
      </c>
      <c r="G382" s="3">
        <f t="shared" si="5"/>
        <v>325194.71999999997</v>
      </c>
    </row>
    <row r="383" spans="1:7" x14ac:dyDescent="0.25">
      <c r="A383" t="s">
        <v>224</v>
      </c>
      <c r="B383" t="s">
        <v>393</v>
      </c>
      <c r="C383" t="s">
        <v>412</v>
      </c>
      <c r="D383" s="1">
        <v>43842</v>
      </c>
      <c r="E383" s="2">
        <v>4299</v>
      </c>
      <c r="F383" s="3">
        <v>120.81</v>
      </c>
      <c r="G383" s="3">
        <f t="shared" si="5"/>
        <v>519362.19</v>
      </c>
    </row>
    <row r="384" spans="1:7" x14ac:dyDescent="0.25">
      <c r="A384" t="s">
        <v>160</v>
      </c>
      <c r="B384" t="s">
        <v>400</v>
      </c>
      <c r="C384" t="s">
        <v>407</v>
      </c>
      <c r="D384" s="1">
        <v>43874</v>
      </c>
      <c r="E384" s="2">
        <v>3557</v>
      </c>
      <c r="F384" s="3">
        <v>242.35</v>
      </c>
      <c r="G384" s="3">
        <f t="shared" si="5"/>
        <v>862038.95</v>
      </c>
    </row>
    <row r="385" spans="1:7" x14ac:dyDescent="0.25">
      <c r="A385" t="s">
        <v>182</v>
      </c>
      <c r="B385" t="s">
        <v>396</v>
      </c>
      <c r="C385" t="s">
        <v>412</v>
      </c>
      <c r="D385" s="1">
        <v>43870</v>
      </c>
      <c r="E385" s="2">
        <v>3986</v>
      </c>
      <c r="F385" s="3">
        <v>397.51</v>
      </c>
      <c r="G385" s="3">
        <f t="shared" si="5"/>
        <v>1584474.8599999999</v>
      </c>
    </row>
    <row r="386" spans="1:7" x14ac:dyDescent="0.25">
      <c r="A386" t="s">
        <v>293</v>
      </c>
      <c r="B386" t="s">
        <v>395</v>
      </c>
      <c r="C386" t="s">
        <v>413</v>
      </c>
      <c r="D386" s="1">
        <v>43865</v>
      </c>
      <c r="E386" s="2">
        <v>9290</v>
      </c>
      <c r="F386" s="10">
        <v>284.75</v>
      </c>
      <c r="G386" s="10">
        <f t="shared" si="5"/>
        <v>2645327.5</v>
      </c>
    </row>
    <row r="387" spans="1:7" x14ac:dyDescent="0.25">
      <c r="A387" t="s">
        <v>697</v>
      </c>
      <c r="B387" t="s">
        <v>393</v>
      </c>
      <c r="C387" t="s">
        <v>411</v>
      </c>
      <c r="D387" s="1">
        <v>43831</v>
      </c>
      <c r="E387" s="2">
        <v>2705</v>
      </c>
      <c r="F387" s="3">
        <v>174.57</v>
      </c>
      <c r="G387" s="3">
        <f t="shared" ref="G387:G450" si="6">E387*F387</f>
        <v>472211.85</v>
      </c>
    </row>
    <row r="388" spans="1:7" x14ac:dyDescent="0.25">
      <c r="A388" t="s">
        <v>209</v>
      </c>
      <c r="B388" t="s">
        <v>398</v>
      </c>
      <c r="C388" t="s">
        <v>401</v>
      </c>
      <c r="D388" s="1">
        <v>43868</v>
      </c>
      <c r="E388" s="2">
        <v>1544</v>
      </c>
      <c r="F388" s="3">
        <v>498.35</v>
      </c>
      <c r="G388" s="3">
        <f t="shared" si="6"/>
        <v>769452.4</v>
      </c>
    </row>
    <row r="389" spans="1:7" x14ac:dyDescent="0.25">
      <c r="A389" t="s">
        <v>698</v>
      </c>
      <c r="B389" t="s">
        <v>398</v>
      </c>
      <c r="C389" t="s">
        <v>413</v>
      </c>
      <c r="D389" s="1">
        <v>43857</v>
      </c>
      <c r="E389" s="2">
        <v>716</v>
      </c>
      <c r="F389" s="10">
        <v>185.75</v>
      </c>
      <c r="G389" s="10">
        <f t="shared" si="6"/>
        <v>132997</v>
      </c>
    </row>
    <row r="390" spans="1:7" x14ac:dyDescent="0.25">
      <c r="A390" t="s">
        <v>699</v>
      </c>
      <c r="B390" t="s">
        <v>393</v>
      </c>
      <c r="C390" t="s">
        <v>413</v>
      </c>
      <c r="D390" s="1">
        <v>43848</v>
      </c>
      <c r="E390" s="2">
        <v>3506</v>
      </c>
      <c r="F390" s="10">
        <v>208.54</v>
      </c>
      <c r="G390" s="10">
        <f t="shared" si="6"/>
        <v>731141.24</v>
      </c>
    </row>
    <row r="391" spans="1:7" x14ac:dyDescent="0.25">
      <c r="A391" t="s">
        <v>58</v>
      </c>
      <c r="B391" t="s">
        <v>393</v>
      </c>
      <c r="C391" t="s">
        <v>412</v>
      </c>
      <c r="D391" s="1">
        <v>43852</v>
      </c>
      <c r="E391" s="2">
        <v>1487</v>
      </c>
      <c r="F391" s="3">
        <v>119.28</v>
      </c>
      <c r="G391" s="3">
        <f t="shared" si="6"/>
        <v>177369.36000000002</v>
      </c>
    </row>
    <row r="392" spans="1:7" x14ac:dyDescent="0.25">
      <c r="A392" t="s">
        <v>700</v>
      </c>
      <c r="B392" t="s">
        <v>398</v>
      </c>
      <c r="C392" t="s">
        <v>401</v>
      </c>
      <c r="D392" s="1">
        <v>43834</v>
      </c>
      <c r="E392" s="2">
        <v>3297</v>
      </c>
      <c r="F392" s="3">
        <v>447.86</v>
      </c>
      <c r="G392" s="3">
        <f t="shared" si="6"/>
        <v>1476594.4200000002</v>
      </c>
    </row>
    <row r="393" spans="1:7" x14ac:dyDescent="0.25">
      <c r="A393" t="s">
        <v>701</v>
      </c>
      <c r="B393" t="s">
        <v>394</v>
      </c>
      <c r="C393" t="s">
        <v>408</v>
      </c>
      <c r="D393" s="1">
        <v>43884</v>
      </c>
      <c r="E393" s="2">
        <v>1945</v>
      </c>
      <c r="F393" s="3">
        <v>370.41</v>
      </c>
      <c r="G393" s="3">
        <f t="shared" si="6"/>
        <v>720447.45000000007</v>
      </c>
    </row>
    <row r="394" spans="1:7" x14ac:dyDescent="0.25">
      <c r="A394" t="s">
        <v>702</v>
      </c>
      <c r="B394" t="s">
        <v>397</v>
      </c>
      <c r="C394" t="s">
        <v>412</v>
      </c>
      <c r="D394" s="1">
        <v>43885</v>
      </c>
      <c r="E394" s="2">
        <v>5623</v>
      </c>
      <c r="F394" s="3">
        <v>62.43</v>
      </c>
      <c r="G394" s="3">
        <f t="shared" si="6"/>
        <v>351043.89</v>
      </c>
    </row>
    <row r="395" spans="1:7" x14ac:dyDescent="0.25">
      <c r="A395" t="s">
        <v>703</v>
      </c>
      <c r="B395" t="s">
        <v>399</v>
      </c>
      <c r="C395" t="s">
        <v>412</v>
      </c>
      <c r="D395" s="1">
        <v>43878</v>
      </c>
      <c r="E395" s="2">
        <v>5319</v>
      </c>
      <c r="F395" s="3">
        <v>493.79</v>
      </c>
      <c r="G395" s="3">
        <f t="shared" si="6"/>
        <v>2626469.0100000002</v>
      </c>
    </row>
    <row r="396" spans="1:7" x14ac:dyDescent="0.25">
      <c r="A396" t="s">
        <v>146</v>
      </c>
      <c r="B396" t="s">
        <v>400</v>
      </c>
      <c r="C396" t="s">
        <v>401</v>
      </c>
      <c r="D396" s="1">
        <v>43831</v>
      </c>
      <c r="E396" s="2">
        <v>1399</v>
      </c>
      <c r="F396" s="3">
        <v>434.51</v>
      </c>
      <c r="G396" s="3">
        <f t="shared" si="6"/>
        <v>607879.49</v>
      </c>
    </row>
    <row r="397" spans="1:7" x14ac:dyDescent="0.25">
      <c r="A397" t="s">
        <v>25</v>
      </c>
      <c r="B397" t="s">
        <v>399</v>
      </c>
      <c r="C397" t="s">
        <v>463</v>
      </c>
      <c r="D397" s="1">
        <v>43832</v>
      </c>
      <c r="E397" s="2">
        <v>9854</v>
      </c>
      <c r="F397" s="3">
        <v>68.37</v>
      </c>
      <c r="G397" s="3">
        <f t="shared" si="6"/>
        <v>673717.9800000001</v>
      </c>
    </row>
    <row r="398" spans="1:7" x14ac:dyDescent="0.25">
      <c r="A398" t="s">
        <v>89</v>
      </c>
      <c r="B398" t="s">
        <v>398</v>
      </c>
      <c r="C398" t="s">
        <v>412</v>
      </c>
      <c r="D398" s="1">
        <v>43848</v>
      </c>
      <c r="E398" s="2">
        <v>5114</v>
      </c>
      <c r="F398" s="3">
        <v>132.69999999999999</v>
      </c>
      <c r="G398" s="3">
        <f t="shared" si="6"/>
        <v>678627.79999999993</v>
      </c>
    </row>
    <row r="399" spans="1:7" x14ac:dyDescent="0.25">
      <c r="A399" t="s">
        <v>704</v>
      </c>
      <c r="B399" t="s">
        <v>394</v>
      </c>
      <c r="C399" t="s">
        <v>406</v>
      </c>
      <c r="D399" s="1">
        <v>43838</v>
      </c>
      <c r="E399" s="2">
        <v>9694</v>
      </c>
      <c r="F399" s="3">
        <v>252.16</v>
      </c>
      <c r="G399" s="3">
        <f t="shared" si="6"/>
        <v>2444439.04</v>
      </c>
    </row>
    <row r="400" spans="1:7" x14ac:dyDescent="0.25">
      <c r="A400" t="s">
        <v>705</v>
      </c>
      <c r="B400" t="s">
        <v>395</v>
      </c>
      <c r="C400" t="s">
        <v>406</v>
      </c>
      <c r="D400" s="1">
        <v>43852</v>
      </c>
      <c r="E400" s="2">
        <v>4664</v>
      </c>
      <c r="F400" s="3">
        <v>311.93</v>
      </c>
      <c r="G400" s="3">
        <f t="shared" si="6"/>
        <v>1454841.52</v>
      </c>
    </row>
    <row r="401" spans="1:7" x14ac:dyDescent="0.25">
      <c r="A401" t="s">
        <v>31</v>
      </c>
      <c r="B401" t="s">
        <v>400</v>
      </c>
      <c r="C401" t="s">
        <v>412</v>
      </c>
      <c r="D401" s="1">
        <v>43881</v>
      </c>
      <c r="E401" s="2">
        <v>958</v>
      </c>
      <c r="F401" s="3">
        <v>345.15</v>
      </c>
      <c r="G401" s="3">
        <f t="shared" si="6"/>
        <v>330653.69999999995</v>
      </c>
    </row>
    <row r="402" spans="1:7" x14ac:dyDescent="0.25">
      <c r="A402" t="s">
        <v>706</v>
      </c>
      <c r="B402" t="s">
        <v>397</v>
      </c>
      <c r="C402" t="s">
        <v>411</v>
      </c>
      <c r="D402" s="1">
        <v>43845</v>
      </c>
      <c r="E402" s="2">
        <v>6029</v>
      </c>
      <c r="F402" s="3">
        <v>140.44999999999999</v>
      </c>
      <c r="G402" s="3">
        <f t="shared" si="6"/>
        <v>846773.04999999993</v>
      </c>
    </row>
    <row r="403" spans="1:7" x14ac:dyDescent="0.25">
      <c r="A403" t="s">
        <v>707</v>
      </c>
      <c r="B403" t="s">
        <v>396</v>
      </c>
      <c r="C403" t="s">
        <v>408</v>
      </c>
      <c r="D403" s="1">
        <v>43857</v>
      </c>
      <c r="E403" s="2">
        <v>2911</v>
      </c>
      <c r="F403" s="3">
        <v>151.78</v>
      </c>
      <c r="G403" s="3">
        <f t="shared" si="6"/>
        <v>441831.58</v>
      </c>
    </row>
    <row r="404" spans="1:7" x14ac:dyDescent="0.25">
      <c r="A404" t="s">
        <v>708</v>
      </c>
      <c r="B404" t="s">
        <v>393</v>
      </c>
      <c r="C404" t="s">
        <v>410</v>
      </c>
      <c r="D404" s="1">
        <v>43885</v>
      </c>
      <c r="E404" s="2">
        <v>4811</v>
      </c>
      <c r="F404" s="3">
        <v>313.55</v>
      </c>
      <c r="G404" s="3">
        <f t="shared" si="6"/>
        <v>1508489.05</v>
      </c>
    </row>
    <row r="405" spans="1:7" x14ac:dyDescent="0.25">
      <c r="A405" t="s">
        <v>709</v>
      </c>
      <c r="B405" t="s">
        <v>396</v>
      </c>
      <c r="C405" t="s">
        <v>412</v>
      </c>
      <c r="D405" s="1">
        <v>43851</v>
      </c>
      <c r="E405" s="2">
        <v>748</v>
      </c>
      <c r="F405" s="3">
        <v>278.97000000000003</v>
      </c>
      <c r="G405" s="3">
        <f t="shared" si="6"/>
        <v>208669.56000000003</v>
      </c>
    </row>
    <row r="406" spans="1:7" x14ac:dyDescent="0.25">
      <c r="A406" t="s">
        <v>710</v>
      </c>
      <c r="B406" t="s">
        <v>396</v>
      </c>
      <c r="C406" t="s">
        <v>410</v>
      </c>
      <c r="D406" s="1">
        <v>43875</v>
      </c>
      <c r="E406" s="2">
        <v>1830</v>
      </c>
      <c r="F406" s="3">
        <v>86.47</v>
      </c>
      <c r="G406" s="3">
        <f t="shared" si="6"/>
        <v>158240.1</v>
      </c>
    </row>
    <row r="407" spans="1:7" x14ac:dyDescent="0.25">
      <c r="A407" t="s">
        <v>69</v>
      </c>
      <c r="B407" t="s">
        <v>399</v>
      </c>
      <c r="C407" t="s">
        <v>411</v>
      </c>
      <c r="D407" s="1">
        <v>43863</v>
      </c>
      <c r="E407" s="2">
        <v>1280</v>
      </c>
      <c r="F407" s="3">
        <v>403.98</v>
      </c>
      <c r="G407" s="3">
        <f t="shared" si="6"/>
        <v>517094.40000000002</v>
      </c>
    </row>
    <row r="408" spans="1:7" x14ac:dyDescent="0.25">
      <c r="A408" t="s">
        <v>711</v>
      </c>
      <c r="B408" t="s">
        <v>395</v>
      </c>
      <c r="C408" t="s">
        <v>413</v>
      </c>
      <c r="D408" s="1">
        <v>43851</v>
      </c>
      <c r="E408" s="2">
        <v>4008</v>
      </c>
      <c r="F408" s="10">
        <v>88.56</v>
      </c>
      <c r="G408" s="10">
        <f t="shared" si="6"/>
        <v>354948.48</v>
      </c>
    </row>
    <row r="409" spans="1:7" x14ac:dyDescent="0.25">
      <c r="A409" t="s">
        <v>332</v>
      </c>
      <c r="B409" t="s">
        <v>395</v>
      </c>
      <c r="C409" t="s">
        <v>401</v>
      </c>
      <c r="D409" s="1">
        <v>43832</v>
      </c>
      <c r="E409" s="2">
        <v>1947</v>
      </c>
      <c r="F409" s="3">
        <v>282.87</v>
      </c>
      <c r="G409" s="3">
        <f t="shared" si="6"/>
        <v>550747.89</v>
      </c>
    </row>
    <row r="410" spans="1:7" x14ac:dyDescent="0.25">
      <c r="A410" t="s">
        <v>712</v>
      </c>
      <c r="B410" t="s">
        <v>393</v>
      </c>
      <c r="C410" t="s">
        <v>411</v>
      </c>
      <c r="D410" s="1">
        <v>43839</v>
      </c>
      <c r="E410" s="2">
        <v>8650</v>
      </c>
      <c r="F410" s="3">
        <v>466.33</v>
      </c>
      <c r="G410" s="3">
        <f t="shared" si="6"/>
        <v>4033754.5</v>
      </c>
    </row>
    <row r="411" spans="1:7" x14ac:dyDescent="0.25">
      <c r="A411" t="s">
        <v>713</v>
      </c>
      <c r="B411" t="s">
        <v>394</v>
      </c>
      <c r="C411" t="s">
        <v>408</v>
      </c>
      <c r="D411" s="1">
        <v>43873</v>
      </c>
      <c r="E411" s="2">
        <v>6605</v>
      </c>
      <c r="F411" s="3">
        <v>119.73</v>
      </c>
      <c r="G411" s="3">
        <f t="shared" si="6"/>
        <v>790816.65</v>
      </c>
    </row>
    <row r="412" spans="1:7" x14ac:dyDescent="0.25">
      <c r="A412" t="s">
        <v>20</v>
      </c>
      <c r="B412" t="s">
        <v>396</v>
      </c>
      <c r="C412" t="s">
        <v>410</v>
      </c>
      <c r="D412" s="1">
        <v>43870</v>
      </c>
      <c r="E412" s="2">
        <v>5252</v>
      </c>
      <c r="F412" s="3">
        <v>429.84</v>
      </c>
      <c r="G412" s="3">
        <f t="shared" si="6"/>
        <v>2257519.6799999997</v>
      </c>
    </row>
    <row r="413" spans="1:7" x14ac:dyDescent="0.25">
      <c r="A413" t="s">
        <v>714</v>
      </c>
      <c r="B413" t="s">
        <v>395</v>
      </c>
      <c r="C413" t="s">
        <v>411</v>
      </c>
      <c r="D413" s="1">
        <v>43865</v>
      </c>
      <c r="E413" s="2">
        <v>3072</v>
      </c>
      <c r="F413" s="3">
        <v>381.55</v>
      </c>
      <c r="G413" s="3">
        <f t="shared" si="6"/>
        <v>1172121.6000000001</v>
      </c>
    </row>
    <row r="414" spans="1:7" x14ac:dyDescent="0.25">
      <c r="A414" t="s">
        <v>715</v>
      </c>
      <c r="B414" t="s">
        <v>396</v>
      </c>
      <c r="C414" t="s">
        <v>408</v>
      </c>
      <c r="D414" s="1">
        <v>43855</v>
      </c>
      <c r="E414" s="2">
        <v>5881</v>
      </c>
      <c r="F414" s="3">
        <v>379.04</v>
      </c>
      <c r="G414" s="3">
        <f t="shared" si="6"/>
        <v>2229134.2400000002</v>
      </c>
    </row>
    <row r="415" spans="1:7" x14ac:dyDescent="0.25">
      <c r="A415" t="s">
        <v>716</v>
      </c>
      <c r="B415" t="s">
        <v>395</v>
      </c>
      <c r="C415" t="s">
        <v>463</v>
      </c>
      <c r="D415" s="1">
        <v>43837</v>
      </c>
      <c r="E415" s="2">
        <v>2395</v>
      </c>
      <c r="F415" s="3">
        <v>285.62</v>
      </c>
      <c r="G415" s="3">
        <f t="shared" si="6"/>
        <v>684059.9</v>
      </c>
    </row>
    <row r="416" spans="1:7" x14ac:dyDescent="0.25">
      <c r="A416" t="s">
        <v>195</v>
      </c>
      <c r="B416" t="s">
        <v>398</v>
      </c>
      <c r="C416" t="s">
        <v>407</v>
      </c>
      <c r="D416" s="1">
        <v>43848</v>
      </c>
      <c r="E416" s="2">
        <v>496</v>
      </c>
      <c r="F416" s="3">
        <v>64.45</v>
      </c>
      <c r="G416" s="3">
        <f t="shared" si="6"/>
        <v>31967.200000000001</v>
      </c>
    </row>
    <row r="417" spans="1:7" x14ac:dyDescent="0.25">
      <c r="A417" t="s">
        <v>717</v>
      </c>
      <c r="B417" t="s">
        <v>399</v>
      </c>
      <c r="C417" t="s">
        <v>411</v>
      </c>
      <c r="D417" s="1">
        <v>43833</v>
      </c>
      <c r="E417" s="2">
        <v>2414</v>
      </c>
      <c r="F417" s="3">
        <v>289.57</v>
      </c>
      <c r="G417" s="3">
        <f t="shared" si="6"/>
        <v>699021.98</v>
      </c>
    </row>
    <row r="418" spans="1:7" x14ac:dyDescent="0.25">
      <c r="A418" t="s">
        <v>718</v>
      </c>
      <c r="B418" t="s">
        <v>396</v>
      </c>
      <c r="C418" t="s">
        <v>413</v>
      </c>
      <c r="D418" s="1">
        <v>43865</v>
      </c>
      <c r="E418" s="2">
        <v>2472</v>
      </c>
      <c r="F418" s="10">
        <v>127.32</v>
      </c>
      <c r="G418" s="10">
        <f t="shared" si="6"/>
        <v>314735.03999999998</v>
      </c>
    </row>
    <row r="419" spans="1:7" x14ac:dyDescent="0.25">
      <c r="A419" t="s">
        <v>719</v>
      </c>
      <c r="B419" t="s">
        <v>396</v>
      </c>
      <c r="C419" t="s">
        <v>408</v>
      </c>
      <c r="D419" s="1">
        <v>43842</v>
      </c>
      <c r="E419" s="2">
        <v>8195</v>
      </c>
      <c r="F419" s="3">
        <v>399.11</v>
      </c>
      <c r="G419" s="3">
        <f t="shared" si="6"/>
        <v>3270706.45</v>
      </c>
    </row>
    <row r="420" spans="1:7" x14ac:dyDescent="0.25">
      <c r="A420" t="s">
        <v>720</v>
      </c>
      <c r="B420" t="s">
        <v>397</v>
      </c>
      <c r="C420" t="s">
        <v>407</v>
      </c>
      <c r="D420" s="1">
        <v>43871</v>
      </c>
      <c r="E420" s="2">
        <v>1851</v>
      </c>
      <c r="F420" s="3">
        <v>356.12</v>
      </c>
      <c r="G420" s="3">
        <f t="shared" si="6"/>
        <v>659178.12</v>
      </c>
    </row>
    <row r="421" spans="1:7" x14ac:dyDescent="0.25">
      <c r="A421" t="s">
        <v>721</v>
      </c>
      <c r="B421" t="s">
        <v>398</v>
      </c>
      <c r="C421" t="s">
        <v>408</v>
      </c>
      <c r="D421" s="1">
        <v>43831</v>
      </c>
      <c r="E421" s="2">
        <v>8374</v>
      </c>
      <c r="F421" s="3">
        <v>68.45</v>
      </c>
      <c r="G421" s="3">
        <f t="shared" si="6"/>
        <v>573200.30000000005</v>
      </c>
    </row>
    <row r="422" spans="1:7" x14ac:dyDescent="0.25">
      <c r="A422" t="s">
        <v>722</v>
      </c>
      <c r="B422" t="s">
        <v>394</v>
      </c>
      <c r="C422" t="s">
        <v>408</v>
      </c>
      <c r="D422" s="1">
        <v>43847</v>
      </c>
      <c r="E422" s="2">
        <v>8813</v>
      </c>
      <c r="F422" s="3">
        <v>110.16</v>
      </c>
      <c r="G422" s="3">
        <f t="shared" si="6"/>
        <v>970840.08</v>
      </c>
    </row>
    <row r="423" spans="1:7" x14ac:dyDescent="0.25">
      <c r="A423" t="s">
        <v>723</v>
      </c>
      <c r="B423" t="s">
        <v>395</v>
      </c>
      <c r="C423" t="s">
        <v>407</v>
      </c>
      <c r="D423" s="1">
        <v>43856</v>
      </c>
      <c r="E423" s="2">
        <v>8526</v>
      </c>
      <c r="F423" s="3">
        <v>414.46</v>
      </c>
      <c r="G423" s="3">
        <f t="shared" si="6"/>
        <v>3533685.96</v>
      </c>
    </row>
    <row r="424" spans="1:7" x14ac:dyDescent="0.25">
      <c r="A424" t="s">
        <v>381</v>
      </c>
      <c r="B424" t="s">
        <v>394</v>
      </c>
      <c r="C424" t="s">
        <v>463</v>
      </c>
      <c r="D424" s="1">
        <v>43861</v>
      </c>
      <c r="E424" s="2">
        <v>3175</v>
      </c>
      <c r="F424" s="3">
        <v>411.88</v>
      </c>
      <c r="G424" s="3">
        <f t="shared" si="6"/>
        <v>1307719</v>
      </c>
    </row>
    <row r="425" spans="1:7" x14ac:dyDescent="0.25">
      <c r="A425" t="s">
        <v>724</v>
      </c>
      <c r="B425" t="s">
        <v>399</v>
      </c>
      <c r="C425" t="s">
        <v>406</v>
      </c>
      <c r="D425" s="1">
        <v>43833</v>
      </c>
      <c r="E425" s="2">
        <v>5135</v>
      </c>
      <c r="F425" s="3">
        <v>69.510000000000005</v>
      </c>
      <c r="G425" s="3">
        <f t="shared" si="6"/>
        <v>356933.85000000003</v>
      </c>
    </row>
    <row r="426" spans="1:7" x14ac:dyDescent="0.25">
      <c r="A426" t="s">
        <v>725</v>
      </c>
      <c r="B426" t="s">
        <v>398</v>
      </c>
      <c r="C426" t="s">
        <v>408</v>
      </c>
      <c r="D426" s="1">
        <v>43888</v>
      </c>
      <c r="E426" s="2">
        <v>551</v>
      </c>
      <c r="F426" s="3">
        <v>279.41000000000003</v>
      </c>
      <c r="G426" s="3">
        <f t="shared" si="6"/>
        <v>153954.91</v>
      </c>
    </row>
    <row r="427" spans="1:7" x14ac:dyDescent="0.25">
      <c r="A427" t="s">
        <v>726</v>
      </c>
      <c r="B427" t="s">
        <v>393</v>
      </c>
      <c r="C427" t="s">
        <v>406</v>
      </c>
      <c r="D427" s="1">
        <v>43859</v>
      </c>
      <c r="E427" s="2">
        <v>9991</v>
      </c>
      <c r="F427" s="3">
        <v>50.65</v>
      </c>
      <c r="G427" s="3">
        <f t="shared" si="6"/>
        <v>506044.14999999997</v>
      </c>
    </row>
    <row r="428" spans="1:7" x14ac:dyDescent="0.25">
      <c r="A428" t="s">
        <v>85</v>
      </c>
      <c r="B428" t="s">
        <v>397</v>
      </c>
      <c r="C428" t="s">
        <v>412</v>
      </c>
      <c r="D428" s="1">
        <v>43841</v>
      </c>
      <c r="E428" s="2">
        <v>1933</v>
      </c>
      <c r="F428" s="3">
        <v>276.39</v>
      </c>
      <c r="G428" s="3">
        <f t="shared" si="6"/>
        <v>534261.87</v>
      </c>
    </row>
    <row r="429" spans="1:7" x14ac:dyDescent="0.25">
      <c r="A429" t="s">
        <v>727</v>
      </c>
      <c r="B429" t="s">
        <v>394</v>
      </c>
      <c r="C429" t="s">
        <v>410</v>
      </c>
      <c r="D429" s="1">
        <v>43843</v>
      </c>
      <c r="E429" s="2">
        <v>5277</v>
      </c>
      <c r="F429" s="3">
        <v>382.39</v>
      </c>
      <c r="G429" s="3">
        <f t="shared" si="6"/>
        <v>2017872.03</v>
      </c>
    </row>
    <row r="430" spans="1:7" x14ac:dyDescent="0.25">
      <c r="A430" t="s">
        <v>147</v>
      </c>
      <c r="B430" t="s">
        <v>398</v>
      </c>
      <c r="C430" t="s">
        <v>401</v>
      </c>
      <c r="D430" s="1">
        <v>43834</v>
      </c>
      <c r="E430" s="2">
        <v>885</v>
      </c>
      <c r="F430" s="3">
        <v>470.36</v>
      </c>
      <c r="G430" s="3">
        <f t="shared" si="6"/>
        <v>416268.60000000003</v>
      </c>
    </row>
    <row r="431" spans="1:7" x14ac:dyDescent="0.25">
      <c r="A431" t="s">
        <v>728</v>
      </c>
      <c r="B431" t="s">
        <v>395</v>
      </c>
      <c r="C431" t="s">
        <v>413</v>
      </c>
      <c r="D431" s="1">
        <v>43879</v>
      </c>
      <c r="E431" s="2">
        <v>2707</v>
      </c>
      <c r="F431" s="10">
        <v>416.35</v>
      </c>
      <c r="G431" s="10">
        <f t="shared" si="6"/>
        <v>1127059.45</v>
      </c>
    </row>
    <row r="432" spans="1:7" x14ac:dyDescent="0.25">
      <c r="A432" t="s">
        <v>183</v>
      </c>
      <c r="B432" t="s">
        <v>393</v>
      </c>
      <c r="C432" t="s">
        <v>412</v>
      </c>
      <c r="D432" s="1">
        <v>43867</v>
      </c>
      <c r="E432" s="2">
        <v>4441</v>
      </c>
      <c r="F432" s="3">
        <v>468.81</v>
      </c>
      <c r="G432" s="3">
        <f t="shared" si="6"/>
        <v>2081985.21</v>
      </c>
    </row>
    <row r="433" spans="1:7" x14ac:dyDescent="0.25">
      <c r="A433" t="s">
        <v>50</v>
      </c>
      <c r="B433" t="s">
        <v>398</v>
      </c>
      <c r="C433" t="s">
        <v>401</v>
      </c>
      <c r="D433" s="1">
        <v>43835</v>
      </c>
      <c r="E433" s="2">
        <v>4744</v>
      </c>
      <c r="F433" s="3">
        <v>373.47</v>
      </c>
      <c r="G433" s="3">
        <f t="shared" si="6"/>
        <v>1771741.6800000002</v>
      </c>
    </row>
    <row r="434" spans="1:7" x14ac:dyDescent="0.25">
      <c r="A434" t="s">
        <v>729</v>
      </c>
      <c r="B434" t="s">
        <v>398</v>
      </c>
      <c r="C434" t="s">
        <v>407</v>
      </c>
      <c r="D434" s="1">
        <v>43861</v>
      </c>
      <c r="E434" s="2">
        <v>9111</v>
      </c>
      <c r="F434" s="3">
        <v>253.4</v>
      </c>
      <c r="G434" s="3">
        <f t="shared" si="6"/>
        <v>2308727.4</v>
      </c>
    </row>
    <row r="435" spans="1:7" x14ac:dyDescent="0.25">
      <c r="A435" t="s">
        <v>205</v>
      </c>
      <c r="B435" t="s">
        <v>396</v>
      </c>
      <c r="C435" t="s">
        <v>412</v>
      </c>
      <c r="D435" s="1">
        <v>43835</v>
      </c>
      <c r="E435" s="2">
        <v>1439</v>
      </c>
      <c r="F435" s="3">
        <v>444.82</v>
      </c>
      <c r="G435" s="3">
        <f t="shared" si="6"/>
        <v>640095.98</v>
      </c>
    </row>
    <row r="436" spans="1:7" x14ac:dyDescent="0.25">
      <c r="A436" t="s">
        <v>103</v>
      </c>
      <c r="B436" t="s">
        <v>395</v>
      </c>
      <c r="C436" t="s">
        <v>412</v>
      </c>
      <c r="D436" s="1">
        <v>43864</v>
      </c>
      <c r="E436" s="2">
        <v>728</v>
      </c>
      <c r="F436" s="3">
        <v>422.19</v>
      </c>
      <c r="G436" s="3">
        <f t="shared" si="6"/>
        <v>307354.32</v>
      </c>
    </row>
    <row r="437" spans="1:7" x14ac:dyDescent="0.25">
      <c r="A437" t="s">
        <v>138</v>
      </c>
      <c r="B437" t="s">
        <v>400</v>
      </c>
      <c r="C437" t="s">
        <v>463</v>
      </c>
      <c r="D437" s="1">
        <v>43890</v>
      </c>
      <c r="E437" s="2">
        <v>7268</v>
      </c>
      <c r="F437" s="3">
        <v>111.36</v>
      </c>
      <c r="G437" s="3">
        <f t="shared" si="6"/>
        <v>809364.47999999998</v>
      </c>
    </row>
    <row r="438" spans="1:7" x14ac:dyDescent="0.25">
      <c r="A438" t="s">
        <v>367</v>
      </c>
      <c r="B438" t="s">
        <v>397</v>
      </c>
      <c r="C438" t="s">
        <v>413</v>
      </c>
      <c r="D438" s="1">
        <v>43882</v>
      </c>
      <c r="E438" s="2">
        <v>1590</v>
      </c>
      <c r="F438" s="10">
        <v>174.64</v>
      </c>
      <c r="G438" s="10">
        <f t="shared" si="6"/>
        <v>277677.59999999998</v>
      </c>
    </row>
    <row r="439" spans="1:7" x14ac:dyDescent="0.25">
      <c r="A439" t="s">
        <v>730</v>
      </c>
      <c r="B439" t="s">
        <v>397</v>
      </c>
      <c r="C439" t="s">
        <v>411</v>
      </c>
      <c r="D439" s="1">
        <v>43873</v>
      </c>
      <c r="E439" s="2">
        <v>1018</v>
      </c>
      <c r="F439" s="3">
        <v>444.72</v>
      </c>
      <c r="G439" s="3">
        <f t="shared" si="6"/>
        <v>452724.96</v>
      </c>
    </row>
    <row r="440" spans="1:7" x14ac:dyDescent="0.25">
      <c r="A440" t="s">
        <v>308</v>
      </c>
      <c r="B440" t="s">
        <v>400</v>
      </c>
      <c r="C440" t="s">
        <v>408</v>
      </c>
      <c r="D440" s="1">
        <v>43834</v>
      </c>
      <c r="E440" s="2">
        <v>8772</v>
      </c>
      <c r="F440" s="3">
        <v>374.68</v>
      </c>
      <c r="G440" s="3">
        <f t="shared" si="6"/>
        <v>3286692.96</v>
      </c>
    </row>
    <row r="441" spans="1:7" x14ac:dyDescent="0.25">
      <c r="A441" t="s">
        <v>731</v>
      </c>
      <c r="B441" t="s">
        <v>400</v>
      </c>
      <c r="C441" t="s">
        <v>410</v>
      </c>
      <c r="D441" s="1">
        <v>43871</v>
      </c>
      <c r="E441" s="2">
        <v>1739</v>
      </c>
      <c r="F441" s="3">
        <v>128.16</v>
      </c>
      <c r="G441" s="3">
        <f t="shared" si="6"/>
        <v>222870.24</v>
      </c>
    </row>
    <row r="442" spans="1:7" x14ac:dyDescent="0.25">
      <c r="A442" t="s">
        <v>732</v>
      </c>
      <c r="B442" t="s">
        <v>394</v>
      </c>
      <c r="C442" t="s">
        <v>406</v>
      </c>
      <c r="D442" s="1">
        <v>43855</v>
      </c>
      <c r="E442" s="2">
        <v>6859</v>
      </c>
      <c r="F442" s="3">
        <v>79.900000000000006</v>
      </c>
      <c r="G442" s="3">
        <f t="shared" si="6"/>
        <v>548034.10000000009</v>
      </c>
    </row>
    <row r="443" spans="1:7" x14ac:dyDescent="0.25">
      <c r="A443" t="s">
        <v>733</v>
      </c>
      <c r="B443" t="s">
        <v>399</v>
      </c>
      <c r="C443" t="s">
        <v>413</v>
      </c>
      <c r="D443" s="1">
        <v>43876</v>
      </c>
      <c r="E443" s="2">
        <v>688</v>
      </c>
      <c r="F443" s="10">
        <v>156.21</v>
      </c>
      <c r="G443" s="10">
        <f t="shared" si="6"/>
        <v>107472.48000000001</v>
      </c>
    </row>
    <row r="444" spans="1:7" x14ac:dyDescent="0.25">
      <c r="A444" t="s">
        <v>232</v>
      </c>
      <c r="B444" t="s">
        <v>396</v>
      </c>
      <c r="C444" t="s">
        <v>412</v>
      </c>
      <c r="D444" s="1">
        <v>43875</v>
      </c>
      <c r="E444" s="2">
        <v>6257</v>
      </c>
      <c r="F444" s="3">
        <v>354.98</v>
      </c>
      <c r="G444" s="3">
        <f t="shared" si="6"/>
        <v>2221109.8600000003</v>
      </c>
    </row>
    <row r="445" spans="1:7" x14ac:dyDescent="0.25">
      <c r="A445" t="s">
        <v>734</v>
      </c>
      <c r="B445" t="s">
        <v>399</v>
      </c>
      <c r="C445" t="s">
        <v>401</v>
      </c>
      <c r="D445" s="1">
        <v>43838</v>
      </c>
      <c r="E445" s="2">
        <v>382</v>
      </c>
      <c r="F445" s="3">
        <v>498.58</v>
      </c>
      <c r="G445" s="3">
        <f t="shared" si="6"/>
        <v>190457.56</v>
      </c>
    </row>
    <row r="446" spans="1:7" x14ac:dyDescent="0.25">
      <c r="A446" t="s">
        <v>30</v>
      </c>
      <c r="B446" t="s">
        <v>396</v>
      </c>
      <c r="C446" t="s">
        <v>463</v>
      </c>
      <c r="D446" s="1">
        <v>43885</v>
      </c>
      <c r="E446" s="2">
        <v>4058</v>
      </c>
      <c r="F446" s="3">
        <v>315.32</v>
      </c>
      <c r="G446" s="3">
        <f t="shared" si="6"/>
        <v>1279568.56</v>
      </c>
    </row>
    <row r="447" spans="1:7" x14ac:dyDescent="0.25">
      <c r="A447" t="s">
        <v>735</v>
      </c>
      <c r="B447" t="s">
        <v>396</v>
      </c>
      <c r="C447" t="s">
        <v>406</v>
      </c>
      <c r="D447" s="1">
        <v>43855</v>
      </c>
      <c r="E447" s="2">
        <v>7752</v>
      </c>
      <c r="F447" s="3">
        <v>475.27</v>
      </c>
      <c r="G447" s="3">
        <f t="shared" si="6"/>
        <v>3684293.04</v>
      </c>
    </row>
    <row r="448" spans="1:7" x14ac:dyDescent="0.25">
      <c r="A448" t="s">
        <v>736</v>
      </c>
      <c r="B448" t="s">
        <v>396</v>
      </c>
      <c r="C448" t="s">
        <v>463</v>
      </c>
      <c r="D448" s="1">
        <v>43837</v>
      </c>
      <c r="E448" s="2">
        <v>4130</v>
      </c>
      <c r="F448" s="3">
        <v>236.11</v>
      </c>
      <c r="G448" s="3">
        <f t="shared" si="6"/>
        <v>975134.3</v>
      </c>
    </row>
    <row r="449" spans="1:7" x14ac:dyDescent="0.25">
      <c r="A449" t="s">
        <v>737</v>
      </c>
      <c r="B449" t="s">
        <v>394</v>
      </c>
      <c r="C449" t="s">
        <v>401</v>
      </c>
      <c r="D449" s="1">
        <v>43832</v>
      </c>
      <c r="E449" s="2">
        <v>8531</v>
      </c>
      <c r="F449" s="3">
        <v>118.76</v>
      </c>
      <c r="G449" s="3">
        <f t="shared" si="6"/>
        <v>1013141.56</v>
      </c>
    </row>
    <row r="450" spans="1:7" x14ac:dyDescent="0.25">
      <c r="A450" t="s">
        <v>40</v>
      </c>
      <c r="B450" t="s">
        <v>393</v>
      </c>
      <c r="C450" t="s">
        <v>411</v>
      </c>
      <c r="D450" s="1">
        <v>43887</v>
      </c>
      <c r="E450" s="2">
        <v>7434</v>
      </c>
      <c r="F450" s="3">
        <v>463.29</v>
      </c>
      <c r="G450" s="3">
        <f t="shared" si="6"/>
        <v>3444097.8600000003</v>
      </c>
    </row>
    <row r="451" spans="1:7" x14ac:dyDescent="0.25">
      <c r="A451" t="s">
        <v>738</v>
      </c>
      <c r="B451" t="s">
        <v>397</v>
      </c>
      <c r="C451" t="s">
        <v>413</v>
      </c>
      <c r="D451" s="1">
        <v>43869</v>
      </c>
      <c r="E451" s="2">
        <v>5448</v>
      </c>
      <c r="F451" s="10">
        <v>352.41</v>
      </c>
      <c r="G451" s="10">
        <f t="shared" ref="G451:G514" si="7">E451*F451</f>
        <v>1919929.6800000002</v>
      </c>
    </row>
    <row r="452" spans="1:7" x14ac:dyDescent="0.25">
      <c r="A452" t="s">
        <v>739</v>
      </c>
      <c r="B452" t="s">
        <v>395</v>
      </c>
      <c r="C452" t="s">
        <v>407</v>
      </c>
      <c r="D452" s="1">
        <v>43840</v>
      </c>
      <c r="E452" s="2">
        <v>6757</v>
      </c>
      <c r="F452" s="3">
        <v>243.15</v>
      </c>
      <c r="G452" s="3">
        <f t="shared" si="7"/>
        <v>1642964.55</v>
      </c>
    </row>
    <row r="453" spans="1:7" x14ac:dyDescent="0.25">
      <c r="A453" t="s">
        <v>123</v>
      </c>
      <c r="B453" t="s">
        <v>394</v>
      </c>
      <c r="C453" t="s">
        <v>463</v>
      </c>
      <c r="D453" s="1">
        <v>43857</v>
      </c>
      <c r="E453" s="2">
        <v>3079</v>
      </c>
      <c r="F453" s="3">
        <v>427.56</v>
      </c>
      <c r="G453" s="3">
        <f t="shared" si="7"/>
        <v>1316457.24</v>
      </c>
    </row>
    <row r="454" spans="1:7" x14ac:dyDescent="0.25">
      <c r="A454" t="s">
        <v>740</v>
      </c>
      <c r="B454" t="s">
        <v>400</v>
      </c>
      <c r="C454" t="s">
        <v>463</v>
      </c>
      <c r="D454" s="1">
        <v>43834</v>
      </c>
      <c r="E454" s="2">
        <v>9064</v>
      </c>
      <c r="F454" s="3">
        <v>177.19</v>
      </c>
      <c r="G454" s="3">
        <f t="shared" si="7"/>
        <v>1606050.16</v>
      </c>
    </row>
    <row r="455" spans="1:7" x14ac:dyDescent="0.25">
      <c r="A455" t="s">
        <v>741</v>
      </c>
      <c r="B455" t="s">
        <v>393</v>
      </c>
      <c r="C455" t="s">
        <v>411</v>
      </c>
      <c r="D455" s="1">
        <v>43868</v>
      </c>
      <c r="E455" s="2">
        <v>1502</v>
      </c>
      <c r="F455" s="3">
        <v>402</v>
      </c>
      <c r="G455" s="3">
        <f t="shared" si="7"/>
        <v>603804</v>
      </c>
    </row>
    <row r="456" spans="1:7" x14ac:dyDescent="0.25">
      <c r="A456" t="s">
        <v>66</v>
      </c>
      <c r="B456" t="s">
        <v>399</v>
      </c>
      <c r="C456" t="s">
        <v>412</v>
      </c>
      <c r="D456" s="1">
        <v>43862</v>
      </c>
      <c r="E456" s="2">
        <v>5526</v>
      </c>
      <c r="F456" s="3">
        <v>388.68</v>
      </c>
      <c r="G456" s="3">
        <f t="shared" si="7"/>
        <v>2147845.6800000002</v>
      </c>
    </row>
    <row r="457" spans="1:7" x14ac:dyDescent="0.25">
      <c r="A457" t="s">
        <v>742</v>
      </c>
      <c r="B457" t="s">
        <v>393</v>
      </c>
      <c r="C457" t="s">
        <v>463</v>
      </c>
      <c r="D457" s="1">
        <v>43885</v>
      </c>
      <c r="E457" s="2">
        <v>2682</v>
      </c>
      <c r="F457" s="3">
        <v>463.19</v>
      </c>
      <c r="G457" s="3">
        <f t="shared" si="7"/>
        <v>1242275.58</v>
      </c>
    </row>
    <row r="458" spans="1:7" x14ac:dyDescent="0.25">
      <c r="A458" t="s">
        <v>743</v>
      </c>
      <c r="B458" t="s">
        <v>397</v>
      </c>
      <c r="C458" t="s">
        <v>463</v>
      </c>
      <c r="D458" s="1">
        <v>43871</v>
      </c>
      <c r="E458" s="2">
        <v>2252</v>
      </c>
      <c r="F458" s="3">
        <v>90.48</v>
      </c>
      <c r="G458" s="3">
        <f t="shared" si="7"/>
        <v>203760.96000000002</v>
      </c>
    </row>
    <row r="459" spans="1:7" x14ac:dyDescent="0.25">
      <c r="A459" t="s">
        <v>744</v>
      </c>
      <c r="B459" t="s">
        <v>397</v>
      </c>
      <c r="C459" t="s">
        <v>410</v>
      </c>
      <c r="D459" s="1">
        <v>43868</v>
      </c>
      <c r="E459" s="2">
        <v>3113</v>
      </c>
      <c r="F459" s="3">
        <v>82.58</v>
      </c>
      <c r="G459" s="3">
        <f t="shared" si="7"/>
        <v>257071.54</v>
      </c>
    </row>
    <row r="460" spans="1:7" x14ac:dyDescent="0.25">
      <c r="A460" t="s">
        <v>67</v>
      </c>
      <c r="B460" t="s">
        <v>399</v>
      </c>
      <c r="C460" t="s">
        <v>411</v>
      </c>
      <c r="D460" s="1">
        <v>43865</v>
      </c>
      <c r="E460" s="2">
        <v>766</v>
      </c>
      <c r="F460" s="3">
        <v>122.05</v>
      </c>
      <c r="G460" s="3">
        <f t="shared" si="7"/>
        <v>93490.3</v>
      </c>
    </row>
    <row r="461" spans="1:7" x14ac:dyDescent="0.25">
      <c r="A461" t="s">
        <v>745</v>
      </c>
      <c r="B461" t="s">
        <v>397</v>
      </c>
      <c r="C461" t="s">
        <v>408</v>
      </c>
      <c r="D461" s="1">
        <v>43836</v>
      </c>
      <c r="E461" s="2">
        <v>3581</v>
      </c>
      <c r="F461" s="3">
        <v>113.39</v>
      </c>
      <c r="G461" s="3">
        <f t="shared" si="7"/>
        <v>406049.59</v>
      </c>
    </row>
    <row r="462" spans="1:7" x14ac:dyDescent="0.25">
      <c r="A462" t="s">
        <v>175</v>
      </c>
      <c r="B462" t="s">
        <v>398</v>
      </c>
      <c r="C462" t="s">
        <v>410</v>
      </c>
      <c r="D462" s="1">
        <v>43862</v>
      </c>
      <c r="E462" s="2">
        <v>6929</v>
      </c>
      <c r="F462" s="3">
        <v>397.23</v>
      </c>
      <c r="G462" s="3">
        <f t="shared" si="7"/>
        <v>2752406.67</v>
      </c>
    </row>
    <row r="463" spans="1:7" x14ac:dyDescent="0.25">
      <c r="A463" t="s">
        <v>354</v>
      </c>
      <c r="B463" t="s">
        <v>395</v>
      </c>
      <c r="C463" t="s">
        <v>413</v>
      </c>
      <c r="D463" s="1">
        <v>43863</v>
      </c>
      <c r="E463" s="2">
        <v>8341</v>
      </c>
      <c r="F463" s="10">
        <v>138.62</v>
      </c>
      <c r="G463" s="10">
        <f t="shared" si="7"/>
        <v>1156229.42</v>
      </c>
    </row>
    <row r="464" spans="1:7" x14ac:dyDescent="0.25">
      <c r="A464" t="s">
        <v>269</v>
      </c>
      <c r="B464" t="s">
        <v>394</v>
      </c>
      <c r="C464" t="s">
        <v>401</v>
      </c>
      <c r="D464" s="1">
        <v>43843</v>
      </c>
      <c r="E464" s="2">
        <v>5302</v>
      </c>
      <c r="F464" s="3">
        <v>263.14</v>
      </c>
      <c r="G464" s="3">
        <f t="shared" si="7"/>
        <v>1395168.28</v>
      </c>
    </row>
    <row r="465" spans="1:7" x14ac:dyDescent="0.25">
      <c r="A465" t="s">
        <v>746</v>
      </c>
      <c r="B465" t="s">
        <v>394</v>
      </c>
      <c r="C465" t="s">
        <v>413</v>
      </c>
      <c r="D465" s="1">
        <v>43837</v>
      </c>
      <c r="E465" s="2">
        <v>724</v>
      </c>
      <c r="F465" s="10">
        <v>261.27999999999997</v>
      </c>
      <c r="G465" s="10">
        <f t="shared" si="7"/>
        <v>189166.71999999997</v>
      </c>
    </row>
    <row r="466" spans="1:7" x14ac:dyDescent="0.25">
      <c r="A466" t="s">
        <v>286</v>
      </c>
      <c r="B466" t="s">
        <v>396</v>
      </c>
      <c r="C466" t="s">
        <v>411</v>
      </c>
      <c r="D466" s="1">
        <v>43876</v>
      </c>
      <c r="E466" s="2">
        <v>2015</v>
      </c>
      <c r="F466" s="3">
        <v>376.25</v>
      </c>
      <c r="G466" s="3">
        <f t="shared" si="7"/>
        <v>758143.75</v>
      </c>
    </row>
    <row r="467" spans="1:7" x14ac:dyDescent="0.25">
      <c r="A467" t="s">
        <v>747</v>
      </c>
      <c r="B467" t="s">
        <v>397</v>
      </c>
      <c r="C467" t="s">
        <v>410</v>
      </c>
      <c r="D467" s="1">
        <v>43849</v>
      </c>
      <c r="E467" s="2">
        <v>8711</v>
      </c>
      <c r="F467" s="3">
        <v>129.69999999999999</v>
      </c>
      <c r="G467" s="3">
        <f t="shared" si="7"/>
        <v>1129816.7</v>
      </c>
    </row>
    <row r="468" spans="1:7" x14ac:dyDescent="0.25">
      <c r="A468" t="s">
        <v>748</v>
      </c>
      <c r="B468" t="s">
        <v>395</v>
      </c>
      <c r="C468" t="s">
        <v>411</v>
      </c>
      <c r="D468" s="1">
        <v>43837</v>
      </c>
      <c r="E468" s="2">
        <v>1132</v>
      </c>
      <c r="F468" s="3">
        <v>326.88</v>
      </c>
      <c r="G468" s="3">
        <f t="shared" si="7"/>
        <v>370028.16</v>
      </c>
    </row>
    <row r="469" spans="1:7" x14ac:dyDescent="0.25">
      <c r="A469" t="s">
        <v>749</v>
      </c>
      <c r="B469" t="s">
        <v>396</v>
      </c>
      <c r="C469" t="s">
        <v>408</v>
      </c>
      <c r="D469" s="1">
        <v>43889</v>
      </c>
      <c r="E469" s="2">
        <v>8177</v>
      </c>
      <c r="F469" s="3">
        <v>461.59</v>
      </c>
      <c r="G469" s="3">
        <f t="shared" si="7"/>
        <v>3774421.4299999997</v>
      </c>
    </row>
    <row r="470" spans="1:7" x14ac:dyDescent="0.25">
      <c r="A470" t="s">
        <v>750</v>
      </c>
      <c r="B470" t="s">
        <v>395</v>
      </c>
      <c r="C470" t="s">
        <v>407</v>
      </c>
      <c r="D470" s="1">
        <v>43854</v>
      </c>
      <c r="E470" s="2">
        <v>3328</v>
      </c>
      <c r="F470" s="3">
        <v>446.5</v>
      </c>
      <c r="G470" s="3">
        <f t="shared" si="7"/>
        <v>1485952</v>
      </c>
    </row>
    <row r="471" spans="1:7" x14ac:dyDescent="0.25">
      <c r="A471" t="s">
        <v>353</v>
      </c>
      <c r="B471" t="s">
        <v>400</v>
      </c>
      <c r="C471" t="s">
        <v>413</v>
      </c>
      <c r="D471" s="1">
        <v>43882</v>
      </c>
      <c r="E471" s="2">
        <v>6945</v>
      </c>
      <c r="F471" s="10">
        <v>455.38</v>
      </c>
      <c r="G471" s="10">
        <f t="shared" si="7"/>
        <v>3162614.1</v>
      </c>
    </row>
    <row r="472" spans="1:7" x14ac:dyDescent="0.25">
      <c r="A472" t="s">
        <v>284</v>
      </c>
      <c r="B472" t="s">
        <v>399</v>
      </c>
      <c r="C472" t="s">
        <v>401</v>
      </c>
      <c r="D472" s="1">
        <v>43836</v>
      </c>
      <c r="E472" s="2">
        <v>4489</v>
      </c>
      <c r="F472" s="3">
        <v>95.04</v>
      </c>
      <c r="G472" s="3">
        <f t="shared" si="7"/>
        <v>426634.56000000006</v>
      </c>
    </row>
    <row r="473" spans="1:7" x14ac:dyDescent="0.25">
      <c r="A473" t="s">
        <v>82</v>
      </c>
      <c r="B473" t="s">
        <v>394</v>
      </c>
      <c r="C473" t="s">
        <v>407</v>
      </c>
      <c r="D473" s="1">
        <v>43877</v>
      </c>
      <c r="E473" s="2">
        <v>9710</v>
      </c>
      <c r="F473" s="3">
        <v>305.70999999999998</v>
      </c>
      <c r="G473" s="3">
        <f t="shared" si="7"/>
        <v>2968444.0999999996</v>
      </c>
    </row>
    <row r="474" spans="1:7" x14ac:dyDescent="0.25">
      <c r="A474" t="s">
        <v>157</v>
      </c>
      <c r="B474" t="s">
        <v>394</v>
      </c>
      <c r="C474" t="s">
        <v>412</v>
      </c>
      <c r="D474" s="1">
        <v>43890</v>
      </c>
      <c r="E474" s="2">
        <v>8618</v>
      </c>
      <c r="F474" s="3">
        <v>162.19</v>
      </c>
      <c r="G474" s="3">
        <f t="shared" si="7"/>
        <v>1397753.42</v>
      </c>
    </row>
    <row r="475" spans="1:7" x14ac:dyDescent="0.25">
      <c r="A475" t="s">
        <v>751</v>
      </c>
      <c r="B475" t="s">
        <v>393</v>
      </c>
      <c r="C475" t="s">
        <v>410</v>
      </c>
      <c r="D475" s="1">
        <v>43884</v>
      </c>
      <c r="E475" s="2">
        <v>7733</v>
      </c>
      <c r="F475" s="3">
        <v>161.71</v>
      </c>
      <c r="G475" s="3">
        <f t="shared" si="7"/>
        <v>1250503.4300000002</v>
      </c>
    </row>
    <row r="476" spans="1:7" x14ac:dyDescent="0.25">
      <c r="A476" t="s">
        <v>15</v>
      </c>
      <c r="B476" t="s">
        <v>397</v>
      </c>
      <c r="C476" t="s">
        <v>410</v>
      </c>
      <c r="D476" s="1">
        <v>43869</v>
      </c>
      <c r="E476" s="2">
        <v>9812</v>
      </c>
      <c r="F476" s="3">
        <v>95.18</v>
      </c>
      <c r="G476" s="3">
        <f t="shared" si="7"/>
        <v>933906.16</v>
      </c>
    </row>
    <row r="477" spans="1:7" x14ac:dyDescent="0.25">
      <c r="A477" t="s">
        <v>752</v>
      </c>
      <c r="B477" t="s">
        <v>396</v>
      </c>
      <c r="C477" t="s">
        <v>463</v>
      </c>
      <c r="D477" s="1">
        <v>43883</v>
      </c>
      <c r="E477" s="2">
        <v>4564</v>
      </c>
      <c r="F477" s="3">
        <v>70.290000000000006</v>
      </c>
      <c r="G477" s="3">
        <f t="shared" si="7"/>
        <v>320803.56000000006</v>
      </c>
    </row>
    <row r="478" spans="1:7" x14ac:dyDescent="0.25">
      <c r="A478" t="s">
        <v>753</v>
      </c>
      <c r="B478" t="s">
        <v>395</v>
      </c>
      <c r="C478" t="s">
        <v>463</v>
      </c>
      <c r="D478" s="1">
        <v>43888</v>
      </c>
      <c r="E478" s="2">
        <v>6436</v>
      </c>
      <c r="F478" s="3">
        <v>94.83</v>
      </c>
      <c r="G478" s="3">
        <f t="shared" si="7"/>
        <v>610325.88</v>
      </c>
    </row>
    <row r="479" spans="1:7" x14ac:dyDescent="0.25">
      <c r="A479" t="s">
        <v>133</v>
      </c>
      <c r="B479" t="s">
        <v>397</v>
      </c>
      <c r="C479" t="s">
        <v>408</v>
      </c>
      <c r="D479" s="1">
        <v>43869</v>
      </c>
      <c r="E479" s="2">
        <v>7396</v>
      </c>
      <c r="F479" s="3">
        <v>64.34</v>
      </c>
      <c r="G479" s="3">
        <f t="shared" si="7"/>
        <v>475858.64</v>
      </c>
    </row>
    <row r="480" spans="1:7" x14ac:dyDescent="0.25">
      <c r="A480" t="s">
        <v>754</v>
      </c>
      <c r="B480" t="s">
        <v>397</v>
      </c>
      <c r="C480" t="s">
        <v>463</v>
      </c>
      <c r="D480" s="1">
        <v>43875</v>
      </c>
      <c r="E480" s="2">
        <v>5595</v>
      </c>
      <c r="F480" s="3">
        <v>389.01</v>
      </c>
      <c r="G480" s="3">
        <f t="shared" si="7"/>
        <v>2176510.9499999997</v>
      </c>
    </row>
    <row r="481" spans="1:7" x14ac:dyDescent="0.25">
      <c r="A481" t="s">
        <v>18</v>
      </c>
      <c r="B481" t="s">
        <v>397</v>
      </c>
      <c r="C481" t="s">
        <v>412</v>
      </c>
      <c r="D481" s="1">
        <v>43847</v>
      </c>
      <c r="E481" s="2">
        <v>6166</v>
      </c>
      <c r="F481" s="3">
        <v>306.24</v>
      </c>
      <c r="G481" s="3">
        <f t="shared" si="7"/>
        <v>1888275.84</v>
      </c>
    </row>
    <row r="482" spans="1:7" x14ac:dyDescent="0.25">
      <c r="A482" t="s">
        <v>755</v>
      </c>
      <c r="B482" t="s">
        <v>398</v>
      </c>
      <c r="C482" t="s">
        <v>411</v>
      </c>
      <c r="D482" s="1">
        <v>43840</v>
      </c>
      <c r="E482" s="2">
        <v>4642</v>
      </c>
      <c r="F482" s="3">
        <v>332.6</v>
      </c>
      <c r="G482" s="3">
        <f t="shared" si="7"/>
        <v>1543929.2000000002</v>
      </c>
    </row>
    <row r="483" spans="1:7" x14ac:dyDescent="0.25">
      <c r="A483" t="s">
        <v>756</v>
      </c>
      <c r="B483" t="s">
        <v>393</v>
      </c>
      <c r="C483" t="s">
        <v>410</v>
      </c>
      <c r="D483" s="1">
        <v>43847</v>
      </c>
      <c r="E483" s="2">
        <v>9827</v>
      </c>
      <c r="F483" s="3">
        <v>370.4</v>
      </c>
      <c r="G483" s="3">
        <f t="shared" si="7"/>
        <v>3639920.8</v>
      </c>
    </row>
    <row r="484" spans="1:7" x14ac:dyDescent="0.25">
      <c r="A484" t="s">
        <v>757</v>
      </c>
      <c r="B484" t="s">
        <v>397</v>
      </c>
      <c r="C484" t="s">
        <v>407</v>
      </c>
      <c r="D484" s="1">
        <v>43872</v>
      </c>
      <c r="E484" s="2">
        <v>8531</v>
      </c>
      <c r="F484" s="3">
        <v>149.85</v>
      </c>
      <c r="G484" s="3">
        <f t="shared" si="7"/>
        <v>1278370.3499999999</v>
      </c>
    </row>
    <row r="485" spans="1:7" x14ac:dyDescent="0.25">
      <c r="A485" t="s">
        <v>47</v>
      </c>
      <c r="B485" t="s">
        <v>398</v>
      </c>
      <c r="C485" t="s">
        <v>413</v>
      </c>
      <c r="D485" s="1">
        <v>43886</v>
      </c>
      <c r="E485" s="2">
        <v>1343</v>
      </c>
      <c r="F485" s="10">
        <v>73.489999999999995</v>
      </c>
      <c r="G485" s="10">
        <f t="shared" si="7"/>
        <v>98697.069999999992</v>
      </c>
    </row>
    <row r="486" spans="1:7" x14ac:dyDescent="0.25">
      <c r="A486" t="s">
        <v>376</v>
      </c>
      <c r="B486" t="s">
        <v>399</v>
      </c>
      <c r="C486" t="s">
        <v>410</v>
      </c>
      <c r="D486" s="1">
        <v>43841</v>
      </c>
      <c r="E486" s="2">
        <v>6224</v>
      </c>
      <c r="F486" s="3">
        <v>406.2</v>
      </c>
      <c r="G486" s="3">
        <f t="shared" si="7"/>
        <v>2528188.7999999998</v>
      </c>
    </row>
    <row r="487" spans="1:7" x14ac:dyDescent="0.25">
      <c r="A487" t="s">
        <v>758</v>
      </c>
      <c r="B487" t="s">
        <v>395</v>
      </c>
      <c r="C487" t="s">
        <v>401</v>
      </c>
      <c r="D487" s="1">
        <v>43881</v>
      </c>
      <c r="E487" s="2">
        <v>1098</v>
      </c>
      <c r="F487" s="3">
        <v>149.78</v>
      </c>
      <c r="G487" s="3">
        <f t="shared" si="7"/>
        <v>164458.44</v>
      </c>
    </row>
    <row r="488" spans="1:7" x14ac:dyDescent="0.25">
      <c r="A488" t="s">
        <v>96</v>
      </c>
      <c r="B488" t="s">
        <v>397</v>
      </c>
      <c r="C488" t="s">
        <v>412</v>
      </c>
      <c r="D488" s="1">
        <v>43837</v>
      </c>
      <c r="E488" s="2">
        <v>7300</v>
      </c>
      <c r="F488" s="3">
        <v>119.05</v>
      </c>
      <c r="G488" s="3">
        <f t="shared" si="7"/>
        <v>869065</v>
      </c>
    </row>
    <row r="489" spans="1:7" x14ac:dyDescent="0.25">
      <c r="A489" t="s">
        <v>759</v>
      </c>
      <c r="B489" t="s">
        <v>398</v>
      </c>
      <c r="C489" t="s">
        <v>412</v>
      </c>
      <c r="D489" s="1">
        <v>43850</v>
      </c>
      <c r="E489" s="2">
        <v>6535</v>
      </c>
      <c r="F489" s="3">
        <v>269.48</v>
      </c>
      <c r="G489" s="3">
        <f t="shared" si="7"/>
        <v>1761051.8</v>
      </c>
    </row>
    <row r="490" spans="1:7" x14ac:dyDescent="0.25">
      <c r="A490" t="s">
        <v>90</v>
      </c>
      <c r="B490" t="s">
        <v>397</v>
      </c>
      <c r="C490" t="s">
        <v>407</v>
      </c>
      <c r="D490" s="1">
        <v>43877</v>
      </c>
      <c r="E490" s="2">
        <v>2958</v>
      </c>
      <c r="F490" s="3">
        <v>107.03</v>
      </c>
      <c r="G490" s="3">
        <f t="shared" si="7"/>
        <v>316594.74</v>
      </c>
    </row>
    <row r="491" spans="1:7" x14ac:dyDescent="0.25">
      <c r="A491" t="s">
        <v>760</v>
      </c>
      <c r="B491" t="s">
        <v>393</v>
      </c>
      <c r="C491" t="s">
        <v>413</v>
      </c>
      <c r="D491" s="1">
        <v>43857</v>
      </c>
      <c r="E491" s="2">
        <v>1797</v>
      </c>
      <c r="F491" s="10">
        <v>490.66</v>
      </c>
      <c r="G491" s="10">
        <f t="shared" si="7"/>
        <v>881716.02</v>
      </c>
    </row>
    <row r="492" spans="1:7" x14ac:dyDescent="0.25">
      <c r="A492" t="s">
        <v>761</v>
      </c>
      <c r="B492" t="s">
        <v>393</v>
      </c>
      <c r="C492" t="s">
        <v>407</v>
      </c>
      <c r="D492" s="1">
        <v>43878</v>
      </c>
      <c r="E492" s="2">
        <v>2182</v>
      </c>
      <c r="F492" s="3">
        <v>122.62</v>
      </c>
      <c r="G492" s="3">
        <f t="shared" si="7"/>
        <v>267556.84000000003</v>
      </c>
    </row>
    <row r="493" spans="1:7" x14ac:dyDescent="0.25">
      <c r="A493" t="s">
        <v>762</v>
      </c>
      <c r="B493" t="s">
        <v>398</v>
      </c>
      <c r="C493" t="s">
        <v>411</v>
      </c>
      <c r="D493" s="1">
        <v>43879</v>
      </c>
      <c r="E493" s="2">
        <v>410</v>
      </c>
      <c r="F493" s="3">
        <v>491.6</v>
      </c>
      <c r="G493" s="3">
        <f t="shared" si="7"/>
        <v>201556</v>
      </c>
    </row>
    <row r="494" spans="1:7" x14ac:dyDescent="0.25">
      <c r="A494" t="s">
        <v>217</v>
      </c>
      <c r="B494" t="s">
        <v>395</v>
      </c>
      <c r="C494" t="s">
        <v>401</v>
      </c>
      <c r="D494" s="1">
        <v>43890</v>
      </c>
      <c r="E494" s="2">
        <v>2107</v>
      </c>
      <c r="F494" s="3">
        <v>79.930000000000007</v>
      </c>
      <c r="G494" s="3">
        <f t="shared" si="7"/>
        <v>168412.51</v>
      </c>
    </row>
    <row r="495" spans="1:7" x14ac:dyDescent="0.25">
      <c r="A495" t="s">
        <v>763</v>
      </c>
      <c r="B495" t="s">
        <v>394</v>
      </c>
      <c r="C495" t="s">
        <v>410</v>
      </c>
      <c r="D495" s="1">
        <v>43868</v>
      </c>
      <c r="E495" s="2">
        <v>7000</v>
      </c>
      <c r="F495" s="3">
        <v>473.64</v>
      </c>
      <c r="G495" s="3">
        <f t="shared" si="7"/>
        <v>3315480</v>
      </c>
    </row>
    <row r="496" spans="1:7" x14ac:dyDescent="0.25">
      <c r="A496" t="s">
        <v>764</v>
      </c>
      <c r="B496" t="s">
        <v>393</v>
      </c>
      <c r="C496" t="s">
        <v>413</v>
      </c>
      <c r="D496" s="1">
        <v>43883</v>
      </c>
      <c r="E496" s="2">
        <v>9728</v>
      </c>
      <c r="F496" s="10">
        <v>324.52999999999997</v>
      </c>
      <c r="G496" s="10">
        <f t="shared" si="7"/>
        <v>3157027.84</v>
      </c>
    </row>
    <row r="497" spans="1:7" x14ac:dyDescent="0.25">
      <c r="A497" t="s">
        <v>765</v>
      </c>
      <c r="B497" t="s">
        <v>398</v>
      </c>
      <c r="C497" t="s">
        <v>410</v>
      </c>
      <c r="D497" s="1">
        <v>43887</v>
      </c>
      <c r="E497" s="2">
        <v>5048</v>
      </c>
      <c r="F497" s="3">
        <v>76.349999999999994</v>
      </c>
      <c r="G497" s="3">
        <f t="shared" si="7"/>
        <v>385414.8</v>
      </c>
    </row>
    <row r="498" spans="1:7" x14ac:dyDescent="0.25">
      <c r="A498" t="s">
        <v>17</v>
      </c>
      <c r="B498" t="s">
        <v>398</v>
      </c>
      <c r="C498" t="s">
        <v>407</v>
      </c>
      <c r="D498" s="1">
        <v>43833</v>
      </c>
      <c r="E498" s="2">
        <v>7187</v>
      </c>
      <c r="F498" s="3">
        <v>303.08</v>
      </c>
      <c r="G498" s="3">
        <f t="shared" si="7"/>
        <v>2178235.96</v>
      </c>
    </row>
    <row r="499" spans="1:7" x14ac:dyDescent="0.25">
      <c r="A499" t="s">
        <v>766</v>
      </c>
      <c r="B499" t="s">
        <v>393</v>
      </c>
      <c r="C499" t="s">
        <v>463</v>
      </c>
      <c r="D499" s="1">
        <v>43872</v>
      </c>
      <c r="E499" s="2">
        <v>602</v>
      </c>
      <c r="F499" s="3">
        <v>499.79</v>
      </c>
      <c r="G499" s="3">
        <f t="shared" si="7"/>
        <v>300873.58</v>
      </c>
    </row>
    <row r="500" spans="1:7" x14ac:dyDescent="0.25">
      <c r="A500" t="s">
        <v>188</v>
      </c>
      <c r="B500" t="s">
        <v>399</v>
      </c>
      <c r="C500" t="s">
        <v>410</v>
      </c>
      <c r="D500" s="1">
        <v>43844</v>
      </c>
      <c r="E500" s="2">
        <v>7379</v>
      </c>
      <c r="F500" s="3">
        <v>276.41000000000003</v>
      </c>
      <c r="G500" s="3">
        <f t="shared" si="7"/>
        <v>2039629.3900000001</v>
      </c>
    </row>
    <row r="501" spans="1:7" x14ac:dyDescent="0.25">
      <c r="A501" t="s">
        <v>767</v>
      </c>
      <c r="B501" t="s">
        <v>399</v>
      </c>
      <c r="C501" t="s">
        <v>412</v>
      </c>
      <c r="D501" s="1">
        <v>43883</v>
      </c>
      <c r="E501" s="2">
        <v>6448</v>
      </c>
      <c r="F501" s="3">
        <v>322.81</v>
      </c>
      <c r="G501" s="3">
        <f t="shared" si="7"/>
        <v>2081478.8800000001</v>
      </c>
    </row>
    <row r="502" spans="1:7" x14ac:dyDescent="0.25">
      <c r="A502" t="s">
        <v>768</v>
      </c>
      <c r="B502" t="s">
        <v>394</v>
      </c>
      <c r="C502" t="s">
        <v>413</v>
      </c>
      <c r="D502" s="1">
        <v>43887</v>
      </c>
      <c r="E502" s="2">
        <v>6561</v>
      </c>
      <c r="F502" s="10">
        <v>115.61</v>
      </c>
      <c r="G502" s="10">
        <f t="shared" si="7"/>
        <v>758517.21</v>
      </c>
    </row>
    <row r="503" spans="1:7" x14ac:dyDescent="0.25">
      <c r="A503" t="s">
        <v>769</v>
      </c>
      <c r="B503" t="s">
        <v>396</v>
      </c>
      <c r="C503" t="s">
        <v>408</v>
      </c>
      <c r="D503" s="1">
        <v>43836</v>
      </c>
      <c r="E503" s="2">
        <v>317</v>
      </c>
      <c r="F503" s="3">
        <v>465.8</v>
      </c>
      <c r="G503" s="3">
        <f t="shared" si="7"/>
        <v>147658.6</v>
      </c>
    </row>
    <row r="504" spans="1:7" x14ac:dyDescent="0.25">
      <c r="A504" t="s">
        <v>770</v>
      </c>
      <c r="B504" t="s">
        <v>394</v>
      </c>
      <c r="C504" t="s">
        <v>401</v>
      </c>
      <c r="D504" s="1">
        <v>43853</v>
      </c>
      <c r="E504" s="2">
        <v>3280</v>
      </c>
      <c r="F504" s="3">
        <v>147.94999999999999</v>
      </c>
      <c r="G504" s="3">
        <f t="shared" si="7"/>
        <v>485275.99999999994</v>
      </c>
    </row>
    <row r="505" spans="1:7" x14ac:dyDescent="0.25">
      <c r="A505" t="s">
        <v>325</v>
      </c>
      <c r="B505" t="s">
        <v>396</v>
      </c>
      <c r="C505" t="s">
        <v>463</v>
      </c>
      <c r="D505" s="1">
        <v>43878</v>
      </c>
      <c r="E505" s="2">
        <v>6395</v>
      </c>
      <c r="F505" s="3">
        <v>126.29</v>
      </c>
      <c r="G505" s="3">
        <f t="shared" si="7"/>
        <v>807624.55</v>
      </c>
    </row>
    <row r="506" spans="1:7" x14ac:dyDescent="0.25">
      <c r="A506" t="s">
        <v>771</v>
      </c>
      <c r="B506" t="s">
        <v>400</v>
      </c>
      <c r="C506" t="s">
        <v>413</v>
      </c>
      <c r="D506" s="1">
        <v>43872</v>
      </c>
      <c r="E506" s="2">
        <v>7514</v>
      </c>
      <c r="F506" s="10">
        <v>479.05</v>
      </c>
      <c r="G506" s="10">
        <f t="shared" si="7"/>
        <v>3599581.7</v>
      </c>
    </row>
    <row r="507" spans="1:7" x14ac:dyDescent="0.25">
      <c r="A507" t="s">
        <v>772</v>
      </c>
      <c r="B507" t="s">
        <v>395</v>
      </c>
      <c r="C507" t="s">
        <v>408</v>
      </c>
      <c r="D507" s="1">
        <v>43836</v>
      </c>
      <c r="E507" s="2">
        <v>1053</v>
      </c>
      <c r="F507" s="3">
        <v>461.86</v>
      </c>
      <c r="G507" s="3">
        <f t="shared" si="7"/>
        <v>486338.58</v>
      </c>
    </row>
    <row r="508" spans="1:7" x14ac:dyDescent="0.25">
      <c r="A508" t="s">
        <v>257</v>
      </c>
      <c r="B508" t="s">
        <v>398</v>
      </c>
      <c r="C508" t="s">
        <v>407</v>
      </c>
      <c r="D508" s="1">
        <v>43842</v>
      </c>
      <c r="E508" s="2">
        <v>4062</v>
      </c>
      <c r="F508" s="3">
        <v>262.10000000000002</v>
      </c>
      <c r="G508" s="3">
        <f t="shared" si="7"/>
        <v>1064650.2000000002</v>
      </c>
    </row>
    <row r="509" spans="1:7" x14ac:dyDescent="0.25">
      <c r="A509" t="s">
        <v>111</v>
      </c>
      <c r="B509" t="s">
        <v>396</v>
      </c>
      <c r="C509" t="s">
        <v>410</v>
      </c>
      <c r="D509" s="1">
        <v>43834</v>
      </c>
      <c r="E509" s="2">
        <v>7917</v>
      </c>
      <c r="F509" s="3">
        <v>70.78</v>
      </c>
      <c r="G509" s="3">
        <f t="shared" si="7"/>
        <v>560365.26</v>
      </c>
    </row>
    <row r="510" spans="1:7" x14ac:dyDescent="0.25">
      <c r="A510" t="s">
        <v>773</v>
      </c>
      <c r="B510" t="s">
        <v>397</v>
      </c>
      <c r="C510" t="s">
        <v>410</v>
      </c>
      <c r="D510" s="1">
        <v>43884</v>
      </c>
      <c r="E510" s="2">
        <v>5443</v>
      </c>
      <c r="F510" s="3">
        <v>145.44</v>
      </c>
      <c r="G510" s="3">
        <f t="shared" si="7"/>
        <v>791629.92</v>
      </c>
    </row>
    <row r="511" spans="1:7" x14ac:dyDescent="0.25">
      <c r="A511" t="s">
        <v>774</v>
      </c>
      <c r="B511" t="s">
        <v>394</v>
      </c>
      <c r="C511" t="s">
        <v>413</v>
      </c>
      <c r="D511" s="1">
        <v>43851</v>
      </c>
      <c r="E511" s="2">
        <v>4496</v>
      </c>
      <c r="F511" s="10">
        <v>350.58</v>
      </c>
      <c r="G511" s="10">
        <f t="shared" si="7"/>
        <v>1576207.68</v>
      </c>
    </row>
    <row r="512" spans="1:7" x14ac:dyDescent="0.25">
      <c r="A512" t="s">
        <v>350</v>
      </c>
      <c r="B512" t="s">
        <v>399</v>
      </c>
      <c r="C512" t="s">
        <v>407</v>
      </c>
      <c r="D512" s="1">
        <v>43867</v>
      </c>
      <c r="E512" s="2">
        <v>7219</v>
      </c>
      <c r="F512" s="3">
        <v>205.1</v>
      </c>
      <c r="G512" s="3">
        <f t="shared" si="7"/>
        <v>1480616.9</v>
      </c>
    </row>
    <row r="513" spans="1:7" x14ac:dyDescent="0.25">
      <c r="A513" t="s">
        <v>775</v>
      </c>
      <c r="B513" t="s">
        <v>397</v>
      </c>
      <c r="C513" t="s">
        <v>406</v>
      </c>
      <c r="D513" s="1">
        <v>43879</v>
      </c>
      <c r="E513" s="2">
        <v>782</v>
      </c>
      <c r="F513" s="3">
        <v>197.99</v>
      </c>
      <c r="G513" s="3">
        <f t="shared" si="7"/>
        <v>154828.18</v>
      </c>
    </row>
    <row r="514" spans="1:7" x14ac:dyDescent="0.25">
      <c r="A514" t="s">
        <v>202</v>
      </c>
      <c r="B514" t="s">
        <v>400</v>
      </c>
      <c r="C514" t="s">
        <v>401</v>
      </c>
      <c r="D514" s="1">
        <v>43885</v>
      </c>
      <c r="E514" s="2">
        <v>6018</v>
      </c>
      <c r="F514" s="3">
        <v>425.79</v>
      </c>
      <c r="G514" s="3">
        <f t="shared" si="7"/>
        <v>2562404.2200000002</v>
      </c>
    </row>
    <row r="515" spans="1:7" x14ac:dyDescent="0.25">
      <c r="A515" t="s">
        <v>776</v>
      </c>
      <c r="B515" t="s">
        <v>394</v>
      </c>
      <c r="C515" t="s">
        <v>410</v>
      </c>
      <c r="D515" s="1">
        <v>43888</v>
      </c>
      <c r="E515" s="2">
        <v>4136</v>
      </c>
      <c r="F515" s="3">
        <v>446.78</v>
      </c>
      <c r="G515" s="3">
        <f t="shared" ref="G515:G578" si="8">E515*F515</f>
        <v>1847882.0799999998</v>
      </c>
    </row>
    <row r="516" spans="1:7" x14ac:dyDescent="0.25">
      <c r="A516" t="s">
        <v>777</v>
      </c>
      <c r="B516" t="s">
        <v>399</v>
      </c>
      <c r="C516" t="s">
        <v>401</v>
      </c>
      <c r="D516" s="1">
        <v>43843</v>
      </c>
      <c r="E516" s="2">
        <v>109</v>
      </c>
      <c r="F516" s="3">
        <v>285.5</v>
      </c>
      <c r="G516" s="3">
        <f t="shared" si="8"/>
        <v>31119.5</v>
      </c>
    </row>
    <row r="517" spans="1:7" x14ac:dyDescent="0.25">
      <c r="A517" t="s">
        <v>778</v>
      </c>
      <c r="B517" t="s">
        <v>393</v>
      </c>
      <c r="C517" t="s">
        <v>406</v>
      </c>
      <c r="D517" s="1">
        <v>43854</v>
      </c>
      <c r="E517" s="2">
        <v>1896</v>
      </c>
      <c r="F517" s="3">
        <v>292.77</v>
      </c>
      <c r="G517" s="3">
        <f t="shared" si="8"/>
        <v>555091.91999999993</v>
      </c>
    </row>
    <row r="518" spans="1:7" x14ac:dyDescent="0.25">
      <c r="A518" t="s">
        <v>779</v>
      </c>
      <c r="B518" t="s">
        <v>399</v>
      </c>
      <c r="C518" t="s">
        <v>410</v>
      </c>
      <c r="D518" s="1">
        <v>43870</v>
      </c>
      <c r="E518" s="2">
        <v>7546</v>
      </c>
      <c r="F518" s="3">
        <v>324.74</v>
      </c>
      <c r="G518" s="3">
        <f t="shared" si="8"/>
        <v>2450488.04</v>
      </c>
    </row>
    <row r="519" spans="1:7" x14ac:dyDescent="0.25">
      <c r="A519" t="s">
        <v>316</v>
      </c>
      <c r="B519" t="s">
        <v>400</v>
      </c>
      <c r="C519" t="s">
        <v>401</v>
      </c>
      <c r="D519" s="1">
        <v>43885</v>
      </c>
      <c r="E519" s="2">
        <v>187</v>
      </c>
      <c r="F519" s="3">
        <v>339.15</v>
      </c>
      <c r="G519" s="3">
        <f t="shared" si="8"/>
        <v>63421.049999999996</v>
      </c>
    </row>
    <row r="520" spans="1:7" x14ac:dyDescent="0.25">
      <c r="A520" t="s">
        <v>780</v>
      </c>
      <c r="B520" t="s">
        <v>399</v>
      </c>
      <c r="C520" t="s">
        <v>401</v>
      </c>
      <c r="D520" s="1">
        <v>43889</v>
      </c>
      <c r="E520" s="2">
        <v>307</v>
      </c>
      <c r="F520" s="3">
        <v>248.83</v>
      </c>
      <c r="G520" s="3">
        <f t="shared" si="8"/>
        <v>76390.81</v>
      </c>
    </row>
    <row r="521" spans="1:7" x14ac:dyDescent="0.25">
      <c r="A521" t="s">
        <v>781</v>
      </c>
      <c r="B521" t="s">
        <v>395</v>
      </c>
      <c r="C521" t="s">
        <v>410</v>
      </c>
      <c r="D521" s="1">
        <v>43889</v>
      </c>
      <c r="E521" s="2">
        <v>1838</v>
      </c>
      <c r="F521" s="3">
        <v>323.27</v>
      </c>
      <c r="G521" s="3">
        <f t="shared" si="8"/>
        <v>594170.26</v>
      </c>
    </row>
    <row r="522" spans="1:7" x14ac:dyDescent="0.25">
      <c r="A522" t="s">
        <v>782</v>
      </c>
      <c r="B522" t="s">
        <v>398</v>
      </c>
      <c r="C522" t="s">
        <v>412</v>
      </c>
      <c r="D522" s="1">
        <v>43886</v>
      </c>
      <c r="E522" s="2">
        <v>1974</v>
      </c>
      <c r="F522" s="3">
        <v>136.91</v>
      </c>
      <c r="G522" s="3">
        <f t="shared" si="8"/>
        <v>270260.33999999997</v>
      </c>
    </row>
    <row r="523" spans="1:7" x14ac:dyDescent="0.25">
      <c r="A523" t="s">
        <v>108</v>
      </c>
      <c r="B523" t="s">
        <v>393</v>
      </c>
      <c r="C523" t="s">
        <v>407</v>
      </c>
      <c r="D523" s="1">
        <v>43881</v>
      </c>
      <c r="E523" s="2">
        <v>5089</v>
      </c>
      <c r="F523" s="3">
        <v>164.74</v>
      </c>
      <c r="G523" s="3">
        <f t="shared" si="8"/>
        <v>838361.8600000001</v>
      </c>
    </row>
    <row r="524" spans="1:7" x14ac:dyDescent="0.25">
      <c r="A524" t="s">
        <v>783</v>
      </c>
      <c r="B524" t="s">
        <v>398</v>
      </c>
      <c r="C524" t="s">
        <v>407</v>
      </c>
      <c r="D524" s="1">
        <v>43876</v>
      </c>
      <c r="E524" s="2">
        <v>2079</v>
      </c>
      <c r="F524" s="3">
        <v>244.78</v>
      </c>
      <c r="G524" s="3">
        <f t="shared" si="8"/>
        <v>508897.62</v>
      </c>
    </row>
    <row r="525" spans="1:7" x14ac:dyDescent="0.25">
      <c r="A525" t="s">
        <v>784</v>
      </c>
      <c r="B525" t="s">
        <v>395</v>
      </c>
      <c r="C525" t="s">
        <v>463</v>
      </c>
      <c r="D525" s="1">
        <v>43835</v>
      </c>
      <c r="E525" s="2">
        <v>2315</v>
      </c>
      <c r="F525" s="3">
        <v>119.97</v>
      </c>
      <c r="G525" s="3">
        <f t="shared" si="8"/>
        <v>277730.55</v>
      </c>
    </row>
    <row r="526" spans="1:7" x14ac:dyDescent="0.25">
      <c r="A526" t="s">
        <v>785</v>
      </c>
      <c r="B526" t="s">
        <v>396</v>
      </c>
      <c r="C526" t="s">
        <v>410</v>
      </c>
      <c r="D526" s="1">
        <v>43884</v>
      </c>
      <c r="E526" s="2">
        <v>8848</v>
      </c>
      <c r="F526" s="3">
        <v>275.62</v>
      </c>
      <c r="G526" s="3">
        <f t="shared" si="8"/>
        <v>2438685.7600000002</v>
      </c>
    </row>
    <row r="527" spans="1:7" x14ac:dyDescent="0.25">
      <c r="A527" t="s">
        <v>272</v>
      </c>
      <c r="B527" t="s">
        <v>396</v>
      </c>
      <c r="C527" t="s">
        <v>408</v>
      </c>
      <c r="D527" s="1">
        <v>43861</v>
      </c>
      <c r="E527" s="2">
        <v>3511</v>
      </c>
      <c r="F527" s="3">
        <v>92.21</v>
      </c>
      <c r="G527" s="3">
        <f t="shared" si="8"/>
        <v>323749.31</v>
      </c>
    </row>
    <row r="528" spans="1:7" x14ac:dyDescent="0.25">
      <c r="A528" t="s">
        <v>786</v>
      </c>
      <c r="B528" t="s">
        <v>399</v>
      </c>
      <c r="C528" t="s">
        <v>412</v>
      </c>
      <c r="D528" s="1">
        <v>43857</v>
      </c>
      <c r="E528" s="2">
        <v>6230</v>
      </c>
      <c r="F528" s="3">
        <v>180.65</v>
      </c>
      <c r="G528" s="3">
        <f t="shared" si="8"/>
        <v>1125449.5</v>
      </c>
    </row>
    <row r="529" spans="1:7" x14ac:dyDescent="0.25">
      <c r="A529" t="s">
        <v>100</v>
      </c>
      <c r="B529" t="s">
        <v>400</v>
      </c>
      <c r="C529" t="s">
        <v>411</v>
      </c>
      <c r="D529" s="1">
        <v>43844</v>
      </c>
      <c r="E529" s="2">
        <v>3231</v>
      </c>
      <c r="F529" s="3">
        <v>53.78</v>
      </c>
      <c r="G529" s="3">
        <f t="shared" si="8"/>
        <v>173763.18</v>
      </c>
    </row>
    <row r="530" spans="1:7" x14ac:dyDescent="0.25">
      <c r="A530" t="s">
        <v>211</v>
      </c>
      <c r="B530" t="s">
        <v>399</v>
      </c>
      <c r="C530" t="s">
        <v>411</v>
      </c>
      <c r="D530" s="1">
        <v>43842</v>
      </c>
      <c r="E530" s="2">
        <v>9054</v>
      </c>
      <c r="F530" s="3">
        <v>333.44</v>
      </c>
      <c r="G530" s="3">
        <f t="shared" si="8"/>
        <v>3018965.76</v>
      </c>
    </row>
    <row r="531" spans="1:7" x14ac:dyDescent="0.25">
      <c r="A531" t="s">
        <v>391</v>
      </c>
      <c r="B531" t="s">
        <v>395</v>
      </c>
      <c r="C531" t="s">
        <v>463</v>
      </c>
      <c r="D531" s="1">
        <v>43887</v>
      </c>
      <c r="E531" s="2">
        <v>593</v>
      </c>
      <c r="F531" s="3">
        <v>226.44</v>
      </c>
      <c r="G531" s="3">
        <f t="shared" si="8"/>
        <v>134278.92000000001</v>
      </c>
    </row>
    <row r="532" spans="1:7" x14ac:dyDescent="0.25">
      <c r="A532" t="s">
        <v>159</v>
      </c>
      <c r="B532" t="s">
        <v>393</v>
      </c>
      <c r="C532" t="s">
        <v>411</v>
      </c>
      <c r="D532" s="1">
        <v>43873</v>
      </c>
      <c r="E532" s="2">
        <v>756</v>
      </c>
      <c r="F532" s="3">
        <v>109.71</v>
      </c>
      <c r="G532" s="3">
        <f t="shared" si="8"/>
        <v>82940.759999999995</v>
      </c>
    </row>
    <row r="533" spans="1:7" x14ac:dyDescent="0.25">
      <c r="A533" t="s">
        <v>787</v>
      </c>
      <c r="B533" t="s">
        <v>399</v>
      </c>
      <c r="C533" t="s">
        <v>413</v>
      </c>
      <c r="D533" s="1">
        <v>43836</v>
      </c>
      <c r="E533" s="2">
        <v>8032</v>
      </c>
      <c r="F533" s="10">
        <v>216.54</v>
      </c>
      <c r="G533" s="10">
        <f t="shared" si="8"/>
        <v>1739249.28</v>
      </c>
    </row>
    <row r="534" spans="1:7" x14ac:dyDescent="0.25">
      <c r="A534" t="s">
        <v>788</v>
      </c>
      <c r="B534" t="s">
        <v>400</v>
      </c>
      <c r="C534" t="s">
        <v>406</v>
      </c>
      <c r="D534" s="1">
        <v>43868</v>
      </c>
      <c r="E534" s="2">
        <v>9964</v>
      </c>
      <c r="F534" s="3">
        <v>147.12</v>
      </c>
      <c r="G534" s="3">
        <f t="shared" si="8"/>
        <v>1465903.68</v>
      </c>
    </row>
    <row r="535" spans="1:7" x14ac:dyDescent="0.25">
      <c r="A535" t="s">
        <v>220</v>
      </c>
      <c r="B535" t="s">
        <v>396</v>
      </c>
      <c r="C535" t="s">
        <v>401</v>
      </c>
      <c r="D535" s="1">
        <v>43878</v>
      </c>
      <c r="E535" s="2">
        <v>366</v>
      </c>
      <c r="F535" s="3">
        <v>433.41</v>
      </c>
      <c r="G535" s="3">
        <f t="shared" si="8"/>
        <v>158628.06</v>
      </c>
    </row>
    <row r="536" spans="1:7" x14ac:dyDescent="0.25">
      <c r="A536" t="s">
        <v>291</v>
      </c>
      <c r="B536" t="s">
        <v>397</v>
      </c>
      <c r="C536" t="s">
        <v>407</v>
      </c>
      <c r="D536" s="1">
        <v>43879</v>
      </c>
      <c r="E536" s="2">
        <v>3133</v>
      </c>
      <c r="F536" s="3">
        <v>355.59</v>
      </c>
      <c r="G536" s="3">
        <f t="shared" si="8"/>
        <v>1114063.47</v>
      </c>
    </row>
    <row r="537" spans="1:7" x14ac:dyDescent="0.25">
      <c r="A537" t="s">
        <v>21</v>
      </c>
      <c r="B537" t="s">
        <v>395</v>
      </c>
      <c r="C537" t="s">
        <v>401</v>
      </c>
      <c r="D537" s="1">
        <v>43834</v>
      </c>
      <c r="E537" s="2">
        <v>6126</v>
      </c>
      <c r="F537" s="3">
        <v>150.19</v>
      </c>
      <c r="G537" s="3">
        <f t="shared" si="8"/>
        <v>920063.94</v>
      </c>
    </row>
    <row r="538" spans="1:7" x14ac:dyDescent="0.25">
      <c r="A538" t="s">
        <v>789</v>
      </c>
      <c r="B538" t="s">
        <v>394</v>
      </c>
      <c r="C538" t="s">
        <v>407</v>
      </c>
      <c r="D538" s="1">
        <v>43864</v>
      </c>
      <c r="E538" s="2">
        <v>7419</v>
      </c>
      <c r="F538" s="3">
        <v>348.45</v>
      </c>
      <c r="G538" s="3">
        <f t="shared" si="8"/>
        <v>2585150.5499999998</v>
      </c>
    </row>
    <row r="539" spans="1:7" x14ac:dyDescent="0.25">
      <c r="A539" t="s">
        <v>790</v>
      </c>
      <c r="B539" t="s">
        <v>395</v>
      </c>
      <c r="C539" t="s">
        <v>463</v>
      </c>
      <c r="D539" s="1">
        <v>43880</v>
      </c>
      <c r="E539" s="2">
        <v>6339</v>
      </c>
      <c r="F539" s="3">
        <v>466.01</v>
      </c>
      <c r="G539" s="3">
        <f t="shared" si="8"/>
        <v>2954037.39</v>
      </c>
    </row>
    <row r="540" spans="1:7" x14ac:dyDescent="0.25">
      <c r="A540" t="s">
        <v>791</v>
      </c>
      <c r="B540" t="s">
        <v>396</v>
      </c>
      <c r="C540" t="s">
        <v>407</v>
      </c>
      <c r="D540" s="1">
        <v>43834</v>
      </c>
      <c r="E540" s="2">
        <v>8824</v>
      </c>
      <c r="F540" s="3">
        <v>297.89</v>
      </c>
      <c r="G540" s="3">
        <f t="shared" si="8"/>
        <v>2628581.36</v>
      </c>
    </row>
    <row r="541" spans="1:7" x14ac:dyDescent="0.25">
      <c r="A541" t="s">
        <v>792</v>
      </c>
      <c r="B541" t="s">
        <v>398</v>
      </c>
      <c r="C541" t="s">
        <v>413</v>
      </c>
      <c r="D541" s="1">
        <v>43853</v>
      </c>
      <c r="E541" s="2">
        <v>1353</v>
      </c>
      <c r="F541" s="10">
        <v>492.13</v>
      </c>
      <c r="G541" s="10">
        <f t="shared" si="8"/>
        <v>665851.89</v>
      </c>
    </row>
    <row r="542" spans="1:7" x14ac:dyDescent="0.25">
      <c r="A542" t="s">
        <v>81</v>
      </c>
      <c r="B542" t="s">
        <v>398</v>
      </c>
      <c r="C542" t="s">
        <v>407</v>
      </c>
      <c r="D542" s="1">
        <v>43841</v>
      </c>
      <c r="E542" s="2">
        <v>5677</v>
      </c>
      <c r="F542" s="3">
        <v>228.12</v>
      </c>
      <c r="G542" s="3">
        <f t="shared" si="8"/>
        <v>1295037.24</v>
      </c>
    </row>
    <row r="543" spans="1:7" x14ac:dyDescent="0.25">
      <c r="A543" t="s">
        <v>793</v>
      </c>
      <c r="B543" t="s">
        <v>400</v>
      </c>
      <c r="C543" t="s">
        <v>408</v>
      </c>
      <c r="D543" s="1">
        <v>43853</v>
      </c>
      <c r="E543" s="2">
        <v>879</v>
      </c>
      <c r="F543" s="3">
        <v>477.63</v>
      </c>
      <c r="G543" s="3">
        <f t="shared" si="8"/>
        <v>419836.77</v>
      </c>
    </row>
    <row r="544" spans="1:7" x14ac:dyDescent="0.25">
      <c r="A544" t="s">
        <v>121</v>
      </c>
      <c r="B544" t="s">
        <v>395</v>
      </c>
      <c r="C544" t="s">
        <v>463</v>
      </c>
      <c r="D544" s="1">
        <v>43857</v>
      </c>
      <c r="E544" s="2">
        <v>1314</v>
      </c>
      <c r="F544" s="3">
        <v>276.42</v>
      </c>
      <c r="G544" s="3">
        <f t="shared" si="8"/>
        <v>363215.88</v>
      </c>
    </row>
    <row r="545" spans="1:7" x14ac:dyDescent="0.25">
      <c r="A545" t="s">
        <v>324</v>
      </c>
      <c r="B545" t="s">
        <v>395</v>
      </c>
      <c r="C545" t="s">
        <v>408</v>
      </c>
      <c r="D545" s="1">
        <v>43869</v>
      </c>
      <c r="E545" s="2">
        <v>9815</v>
      </c>
      <c r="F545" s="3">
        <v>320.52</v>
      </c>
      <c r="G545" s="3">
        <f t="shared" si="8"/>
        <v>3145903.8</v>
      </c>
    </row>
    <row r="546" spans="1:7" x14ac:dyDescent="0.25">
      <c r="A546" t="s">
        <v>794</v>
      </c>
      <c r="B546" t="s">
        <v>394</v>
      </c>
      <c r="C546" t="s">
        <v>408</v>
      </c>
      <c r="D546" s="1">
        <v>43890</v>
      </c>
      <c r="E546" s="2">
        <v>3072</v>
      </c>
      <c r="F546" s="3">
        <v>350.71</v>
      </c>
      <c r="G546" s="3">
        <f t="shared" si="8"/>
        <v>1077381.1199999999</v>
      </c>
    </row>
    <row r="547" spans="1:7" x14ac:dyDescent="0.25">
      <c r="A547" t="s">
        <v>795</v>
      </c>
      <c r="B547" t="s">
        <v>396</v>
      </c>
      <c r="C547" t="s">
        <v>410</v>
      </c>
      <c r="D547" s="1">
        <v>43856</v>
      </c>
      <c r="E547" s="2">
        <v>9879</v>
      </c>
      <c r="F547" s="3">
        <v>372.66</v>
      </c>
      <c r="G547" s="3">
        <f t="shared" si="8"/>
        <v>3681508.14</v>
      </c>
    </row>
    <row r="548" spans="1:7" x14ac:dyDescent="0.25">
      <c r="A548" t="s">
        <v>796</v>
      </c>
      <c r="B548" t="s">
        <v>396</v>
      </c>
      <c r="C548" t="s">
        <v>410</v>
      </c>
      <c r="D548" s="1">
        <v>43831</v>
      </c>
      <c r="E548" s="2">
        <v>1290</v>
      </c>
      <c r="F548" s="3">
        <v>418.62</v>
      </c>
      <c r="G548" s="3">
        <f t="shared" si="8"/>
        <v>540019.80000000005</v>
      </c>
    </row>
    <row r="549" spans="1:7" x14ac:dyDescent="0.25">
      <c r="A549" t="s">
        <v>797</v>
      </c>
      <c r="B549" t="s">
        <v>398</v>
      </c>
      <c r="C549" t="s">
        <v>401</v>
      </c>
      <c r="D549" s="1">
        <v>43831</v>
      </c>
      <c r="E549" s="2">
        <v>1371</v>
      </c>
      <c r="F549" s="3">
        <v>105.69</v>
      </c>
      <c r="G549" s="3">
        <f t="shared" si="8"/>
        <v>144900.99</v>
      </c>
    </row>
    <row r="550" spans="1:7" x14ac:dyDescent="0.25">
      <c r="A550" t="s">
        <v>798</v>
      </c>
      <c r="B550" t="s">
        <v>395</v>
      </c>
      <c r="C550" t="s">
        <v>412</v>
      </c>
      <c r="D550" s="1">
        <v>43888</v>
      </c>
      <c r="E550" s="2">
        <v>2568</v>
      </c>
      <c r="F550" s="3">
        <v>391.85</v>
      </c>
      <c r="G550" s="3">
        <f t="shared" si="8"/>
        <v>1006270.8</v>
      </c>
    </row>
    <row r="551" spans="1:7" x14ac:dyDescent="0.25">
      <c r="A551" t="s">
        <v>335</v>
      </c>
      <c r="B551" t="s">
        <v>395</v>
      </c>
      <c r="C551" t="s">
        <v>410</v>
      </c>
      <c r="D551" s="1">
        <v>43866</v>
      </c>
      <c r="E551" s="2">
        <v>7242</v>
      </c>
      <c r="F551" s="3">
        <v>415.17</v>
      </c>
      <c r="G551" s="3">
        <f t="shared" si="8"/>
        <v>3006661.14</v>
      </c>
    </row>
    <row r="552" spans="1:7" x14ac:dyDescent="0.25">
      <c r="A552" t="s">
        <v>799</v>
      </c>
      <c r="B552" t="s">
        <v>396</v>
      </c>
      <c r="C552" t="s">
        <v>411</v>
      </c>
      <c r="D552" s="1">
        <v>43869</v>
      </c>
      <c r="E552" s="2">
        <v>9715</v>
      </c>
      <c r="F552" s="3">
        <v>466.53</v>
      </c>
      <c r="G552" s="3">
        <f t="shared" si="8"/>
        <v>4532338.95</v>
      </c>
    </row>
    <row r="553" spans="1:7" x14ac:dyDescent="0.25">
      <c r="A553" t="s">
        <v>298</v>
      </c>
      <c r="B553" t="s">
        <v>395</v>
      </c>
      <c r="C553" t="s">
        <v>407</v>
      </c>
      <c r="D553" s="1">
        <v>43878</v>
      </c>
      <c r="E553" s="2">
        <v>1142</v>
      </c>
      <c r="F553" s="3">
        <v>358.39</v>
      </c>
      <c r="G553" s="3">
        <f t="shared" si="8"/>
        <v>409281.38</v>
      </c>
    </row>
    <row r="554" spans="1:7" x14ac:dyDescent="0.25">
      <c r="A554" t="s">
        <v>59</v>
      </c>
      <c r="B554" t="s">
        <v>396</v>
      </c>
      <c r="C554" t="s">
        <v>406</v>
      </c>
      <c r="D554" s="1">
        <v>43834</v>
      </c>
      <c r="E554" s="2">
        <v>5090</v>
      </c>
      <c r="F554" s="3">
        <v>352.24</v>
      </c>
      <c r="G554" s="3">
        <f t="shared" si="8"/>
        <v>1792901.6</v>
      </c>
    </row>
    <row r="555" spans="1:7" x14ac:dyDescent="0.25">
      <c r="A555" t="s">
        <v>295</v>
      </c>
      <c r="B555" t="s">
        <v>394</v>
      </c>
      <c r="C555" t="s">
        <v>406</v>
      </c>
      <c r="D555" s="1">
        <v>43870</v>
      </c>
      <c r="E555" s="2">
        <v>8688</v>
      </c>
      <c r="F555" s="3">
        <v>111.84</v>
      </c>
      <c r="G555" s="3">
        <f t="shared" si="8"/>
        <v>971665.92000000004</v>
      </c>
    </row>
    <row r="556" spans="1:7" x14ac:dyDescent="0.25">
      <c r="A556" t="s">
        <v>800</v>
      </c>
      <c r="B556" t="s">
        <v>396</v>
      </c>
      <c r="C556" t="s">
        <v>407</v>
      </c>
      <c r="D556" s="1">
        <v>43847</v>
      </c>
      <c r="E556" s="2">
        <v>584</v>
      </c>
      <c r="F556" s="3">
        <v>195.94</v>
      </c>
      <c r="G556" s="3">
        <f t="shared" si="8"/>
        <v>114428.95999999999</v>
      </c>
    </row>
    <row r="557" spans="1:7" x14ac:dyDescent="0.25">
      <c r="A557" t="s">
        <v>801</v>
      </c>
      <c r="B557" t="s">
        <v>400</v>
      </c>
      <c r="C557" t="s">
        <v>412</v>
      </c>
      <c r="D557" s="1">
        <v>43876</v>
      </c>
      <c r="E557" s="2">
        <v>9363</v>
      </c>
      <c r="F557" s="3">
        <v>480.34</v>
      </c>
      <c r="G557" s="3">
        <f t="shared" si="8"/>
        <v>4497423.42</v>
      </c>
    </row>
    <row r="558" spans="1:7" x14ac:dyDescent="0.25">
      <c r="A558" t="s">
        <v>802</v>
      </c>
      <c r="B558" t="s">
        <v>397</v>
      </c>
      <c r="C558" t="s">
        <v>413</v>
      </c>
      <c r="D558" s="1">
        <v>43874</v>
      </c>
      <c r="E558" s="2">
        <v>6719</v>
      </c>
      <c r="F558" s="10">
        <v>404.02</v>
      </c>
      <c r="G558" s="10">
        <f t="shared" si="8"/>
        <v>2714610.38</v>
      </c>
    </row>
    <row r="559" spans="1:7" x14ac:dyDescent="0.25">
      <c r="A559" t="s">
        <v>76</v>
      </c>
      <c r="B559" t="s">
        <v>394</v>
      </c>
      <c r="C559" t="s">
        <v>407</v>
      </c>
      <c r="D559" s="1">
        <v>43862</v>
      </c>
      <c r="E559" s="2">
        <v>5923</v>
      </c>
      <c r="F559" s="3">
        <v>491.8</v>
      </c>
      <c r="G559" s="3">
        <f t="shared" si="8"/>
        <v>2912931.4</v>
      </c>
    </row>
    <row r="560" spans="1:7" x14ac:dyDescent="0.25">
      <c r="A560" t="s">
        <v>803</v>
      </c>
      <c r="B560" t="s">
        <v>393</v>
      </c>
      <c r="C560" t="s">
        <v>463</v>
      </c>
      <c r="D560" s="1">
        <v>43841</v>
      </c>
      <c r="E560" s="2">
        <v>9142</v>
      </c>
      <c r="F560" s="3">
        <v>394.64</v>
      </c>
      <c r="G560" s="3">
        <f t="shared" si="8"/>
        <v>3607798.88</v>
      </c>
    </row>
    <row r="561" spans="1:7" x14ac:dyDescent="0.25">
      <c r="A561" t="s">
        <v>355</v>
      </c>
      <c r="B561" t="s">
        <v>399</v>
      </c>
      <c r="C561" t="s">
        <v>407</v>
      </c>
      <c r="D561" s="1">
        <v>43860</v>
      </c>
      <c r="E561" s="2">
        <v>9468</v>
      </c>
      <c r="F561" s="3">
        <v>403.14</v>
      </c>
      <c r="G561" s="3">
        <f t="shared" si="8"/>
        <v>3816929.52</v>
      </c>
    </row>
    <row r="562" spans="1:7" x14ac:dyDescent="0.25">
      <c r="A562" t="s">
        <v>246</v>
      </c>
      <c r="B562" t="s">
        <v>398</v>
      </c>
      <c r="C562" t="s">
        <v>463</v>
      </c>
      <c r="D562" s="1">
        <v>43840</v>
      </c>
      <c r="E562" s="2">
        <v>6977</v>
      </c>
      <c r="F562" s="3">
        <v>410.56</v>
      </c>
      <c r="G562" s="3">
        <f t="shared" si="8"/>
        <v>2864477.12</v>
      </c>
    </row>
    <row r="563" spans="1:7" x14ac:dyDescent="0.25">
      <c r="A563" t="s">
        <v>804</v>
      </c>
      <c r="B563" t="s">
        <v>400</v>
      </c>
      <c r="C563" t="s">
        <v>411</v>
      </c>
      <c r="D563" s="1">
        <v>43873</v>
      </c>
      <c r="E563" s="2">
        <v>5824</v>
      </c>
      <c r="F563" s="3">
        <v>115.1</v>
      </c>
      <c r="G563" s="3">
        <f t="shared" si="8"/>
        <v>670342.40000000002</v>
      </c>
    </row>
    <row r="564" spans="1:7" x14ac:dyDescent="0.25">
      <c r="A564" t="s">
        <v>242</v>
      </c>
      <c r="B564" t="s">
        <v>394</v>
      </c>
      <c r="C564" t="s">
        <v>407</v>
      </c>
      <c r="D564" s="1">
        <v>43872</v>
      </c>
      <c r="E564" s="2">
        <v>8281</v>
      </c>
      <c r="F564" s="3">
        <v>398.06</v>
      </c>
      <c r="G564" s="3">
        <f t="shared" si="8"/>
        <v>3296334.86</v>
      </c>
    </row>
    <row r="565" spans="1:7" x14ac:dyDescent="0.25">
      <c r="A565" t="s">
        <v>805</v>
      </c>
      <c r="B565" t="s">
        <v>395</v>
      </c>
      <c r="C565" t="s">
        <v>463</v>
      </c>
      <c r="D565" s="1">
        <v>43889</v>
      </c>
      <c r="E565" s="2">
        <v>9244</v>
      </c>
      <c r="F565" s="3">
        <v>435.71</v>
      </c>
      <c r="G565" s="3">
        <f t="shared" si="8"/>
        <v>4027703.2399999998</v>
      </c>
    </row>
    <row r="566" spans="1:7" x14ac:dyDescent="0.25">
      <c r="A566" t="s">
        <v>806</v>
      </c>
      <c r="B566" t="s">
        <v>400</v>
      </c>
      <c r="C566" t="s">
        <v>413</v>
      </c>
      <c r="D566" s="1">
        <v>43882</v>
      </c>
      <c r="E566" s="2">
        <v>8881</v>
      </c>
      <c r="F566" s="10">
        <v>392.86</v>
      </c>
      <c r="G566" s="10">
        <f t="shared" si="8"/>
        <v>3488989.66</v>
      </c>
    </row>
    <row r="567" spans="1:7" x14ac:dyDescent="0.25">
      <c r="A567" t="s">
        <v>279</v>
      </c>
      <c r="B567" t="s">
        <v>400</v>
      </c>
      <c r="C567" t="s">
        <v>406</v>
      </c>
      <c r="D567" s="1">
        <v>43870</v>
      </c>
      <c r="E567" s="2">
        <v>1881</v>
      </c>
      <c r="F567" s="3">
        <v>138.47999999999999</v>
      </c>
      <c r="G567" s="3">
        <f t="shared" si="8"/>
        <v>260480.87999999998</v>
      </c>
    </row>
    <row r="568" spans="1:7" x14ac:dyDescent="0.25">
      <c r="A568" t="s">
        <v>48</v>
      </c>
      <c r="B568" t="s">
        <v>399</v>
      </c>
      <c r="C568" t="s">
        <v>401</v>
      </c>
      <c r="D568" s="1">
        <v>43868</v>
      </c>
      <c r="E568" s="2">
        <v>176</v>
      </c>
      <c r="F568" s="3">
        <v>361.73</v>
      </c>
      <c r="G568" s="3">
        <f t="shared" si="8"/>
        <v>63664.480000000003</v>
      </c>
    </row>
    <row r="569" spans="1:7" x14ac:dyDescent="0.25">
      <c r="A569" t="s">
        <v>52</v>
      </c>
      <c r="B569" t="s">
        <v>393</v>
      </c>
      <c r="C569" t="s">
        <v>410</v>
      </c>
      <c r="D569" s="1">
        <v>43870</v>
      </c>
      <c r="E569" s="2">
        <v>1769</v>
      </c>
      <c r="F569" s="3">
        <v>288.61</v>
      </c>
      <c r="G569" s="3">
        <f t="shared" si="8"/>
        <v>510551.09</v>
      </c>
    </row>
    <row r="570" spans="1:7" x14ac:dyDescent="0.25">
      <c r="A570" t="s">
        <v>260</v>
      </c>
      <c r="B570" t="s">
        <v>400</v>
      </c>
      <c r="C570" t="s">
        <v>406</v>
      </c>
      <c r="D570" s="1">
        <v>43832</v>
      </c>
      <c r="E570" s="2">
        <v>9216</v>
      </c>
      <c r="F570" s="3">
        <v>74.98</v>
      </c>
      <c r="G570" s="3">
        <f t="shared" si="8"/>
        <v>691015.68000000005</v>
      </c>
    </row>
    <row r="571" spans="1:7" x14ac:dyDescent="0.25">
      <c r="A571" t="s">
        <v>807</v>
      </c>
      <c r="B571" t="s">
        <v>395</v>
      </c>
      <c r="C571" t="s">
        <v>463</v>
      </c>
      <c r="D571" s="1">
        <v>43846</v>
      </c>
      <c r="E571" s="2">
        <v>9364</v>
      </c>
      <c r="F571" s="3">
        <v>471.73</v>
      </c>
      <c r="G571" s="3">
        <f t="shared" si="8"/>
        <v>4417279.72</v>
      </c>
    </row>
    <row r="572" spans="1:7" x14ac:dyDescent="0.25">
      <c r="A572" t="s">
        <v>808</v>
      </c>
      <c r="B572" t="s">
        <v>395</v>
      </c>
      <c r="C572" t="s">
        <v>410</v>
      </c>
      <c r="D572" s="1">
        <v>43880</v>
      </c>
      <c r="E572" s="2">
        <v>8355</v>
      </c>
      <c r="F572" s="3">
        <v>470.53</v>
      </c>
      <c r="G572" s="3">
        <f t="shared" si="8"/>
        <v>3931278.15</v>
      </c>
    </row>
    <row r="573" spans="1:7" x14ac:dyDescent="0.25">
      <c r="A573" t="s">
        <v>22</v>
      </c>
      <c r="B573" t="s">
        <v>397</v>
      </c>
      <c r="C573" t="s">
        <v>411</v>
      </c>
      <c r="D573" s="1">
        <v>43847</v>
      </c>
      <c r="E573" s="2">
        <v>9371</v>
      </c>
      <c r="F573" s="3">
        <v>116.33</v>
      </c>
      <c r="G573" s="3">
        <f t="shared" si="8"/>
        <v>1090128.43</v>
      </c>
    </row>
    <row r="574" spans="1:7" x14ac:dyDescent="0.25">
      <c r="A574" t="s">
        <v>292</v>
      </c>
      <c r="B574" t="s">
        <v>394</v>
      </c>
      <c r="C574" t="s">
        <v>406</v>
      </c>
      <c r="D574" s="1">
        <v>43888</v>
      </c>
      <c r="E574" s="2">
        <v>5793</v>
      </c>
      <c r="F574" s="3">
        <v>453.56</v>
      </c>
      <c r="G574" s="3">
        <f t="shared" si="8"/>
        <v>2627473.08</v>
      </c>
    </row>
    <row r="575" spans="1:7" x14ac:dyDescent="0.25">
      <c r="A575" t="s">
        <v>270</v>
      </c>
      <c r="B575" t="s">
        <v>394</v>
      </c>
      <c r="C575" t="s">
        <v>406</v>
      </c>
      <c r="D575" s="1">
        <v>43850</v>
      </c>
      <c r="E575" s="2">
        <v>768</v>
      </c>
      <c r="F575" s="3">
        <v>310.13</v>
      </c>
      <c r="G575" s="3">
        <f t="shared" si="8"/>
        <v>238179.84</v>
      </c>
    </row>
    <row r="576" spans="1:7" x14ac:dyDescent="0.25">
      <c r="A576" t="s">
        <v>809</v>
      </c>
      <c r="B576" t="s">
        <v>398</v>
      </c>
      <c r="C576" t="s">
        <v>401</v>
      </c>
      <c r="D576" s="1">
        <v>43834</v>
      </c>
      <c r="E576" s="2">
        <v>5973</v>
      </c>
      <c r="F576" s="3">
        <v>132.04</v>
      </c>
      <c r="G576" s="3">
        <f t="shared" si="8"/>
        <v>788674.91999999993</v>
      </c>
    </row>
    <row r="577" spans="1:7" x14ac:dyDescent="0.25">
      <c r="A577" t="s">
        <v>165</v>
      </c>
      <c r="B577" t="s">
        <v>397</v>
      </c>
      <c r="C577" t="s">
        <v>407</v>
      </c>
      <c r="D577" s="1">
        <v>43840</v>
      </c>
      <c r="E577" s="2">
        <v>1176</v>
      </c>
      <c r="F577" s="3">
        <v>406.02</v>
      </c>
      <c r="G577" s="3">
        <f t="shared" si="8"/>
        <v>477479.51999999996</v>
      </c>
    </row>
    <row r="578" spans="1:7" x14ac:dyDescent="0.25">
      <c r="A578" t="s">
        <v>810</v>
      </c>
      <c r="B578" t="s">
        <v>397</v>
      </c>
      <c r="C578" t="s">
        <v>412</v>
      </c>
      <c r="D578" s="1">
        <v>43874</v>
      </c>
      <c r="E578" s="2">
        <v>9294</v>
      </c>
      <c r="F578" s="3">
        <v>466.26</v>
      </c>
      <c r="G578" s="3">
        <f t="shared" si="8"/>
        <v>4333420.4399999995</v>
      </c>
    </row>
    <row r="579" spans="1:7" x14ac:dyDescent="0.25">
      <c r="A579" t="s">
        <v>347</v>
      </c>
      <c r="B579" t="s">
        <v>399</v>
      </c>
      <c r="C579" t="s">
        <v>401</v>
      </c>
      <c r="D579" s="1">
        <v>43890</v>
      </c>
      <c r="E579" s="2">
        <v>4865</v>
      </c>
      <c r="F579" s="3">
        <v>67.36</v>
      </c>
      <c r="G579" s="3">
        <f t="shared" ref="G579:G642" si="9">E579*F579</f>
        <v>327706.40000000002</v>
      </c>
    </row>
    <row r="580" spans="1:7" x14ac:dyDescent="0.25">
      <c r="A580" t="s">
        <v>811</v>
      </c>
      <c r="B580" t="s">
        <v>395</v>
      </c>
      <c r="C580" t="s">
        <v>463</v>
      </c>
      <c r="D580" s="1">
        <v>43853</v>
      </c>
      <c r="E580" s="2">
        <v>625</v>
      </c>
      <c r="F580" s="3">
        <v>275.18</v>
      </c>
      <c r="G580" s="3">
        <f t="shared" si="9"/>
        <v>171987.5</v>
      </c>
    </row>
    <row r="581" spans="1:7" x14ac:dyDescent="0.25">
      <c r="A581" t="s">
        <v>812</v>
      </c>
      <c r="B581" t="s">
        <v>400</v>
      </c>
      <c r="C581" t="s">
        <v>406</v>
      </c>
      <c r="D581" s="1">
        <v>43841</v>
      </c>
      <c r="E581" s="2">
        <v>9554</v>
      </c>
      <c r="F581" s="3">
        <v>170.4</v>
      </c>
      <c r="G581" s="3">
        <f t="shared" si="9"/>
        <v>1628001.6</v>
      </c>
    </row>
    <row r="582" spans="1:7" x14ac:dyDescent="0.25">
      <c r="A582" t="s">
        <v>368</v>
      </c>
      <c r="B582" t="s">
        <v>397</v>
      </c>
      <c r="C582" t="s">
        <v>411</v>
      </c>
      <c r="D582" s="1">
        <v>43864</v>
      </c>
      <c r="E582" s="2">
        <v>7841</v>
      </c>
      <c r="F582" s="3">
        <v>431.28</v>
      </c>
      <c r="G582" s="3">
        <f t="shared" si="9"/>
        <v>3381666.48</v>
      </c>
    </row>
    <row r="583" spans="1:7" x14ac:dyDescent="0.25">
      <c r="A583" t="s">
        <v>93</v>
      </c>
      <c r="B583" t="s">
        <v>399</v>
      </c>
      <c r="C583" t="s">
        <v>411</v>
      </c>
      <c r="D583" s="1">
        <v>43845</v>
      </c>
      <c r="E583" s="2">
        <v>2939</v>
      </c>
      <c r="F583" s="3">
        <v>152.03</v>
      </c>
      <c r="G583" s="3">
        <f t="shared" si="9"/>
        <v>446816.17</v>
      </c>
    </row>
    <row r="584" spans="1:7" x14ac:dyDescent="0.25">
      <c r="A584" t="s">
        <v>813</v>
      </c>
      <c r="B584" t="s">
        <v>398</v>
      </c>
      <c r="C584" t="s">
        <v>413</v>
      </c>
      <c r="D584" s="1">
        <v>43838</v>
      </c>
      <c r="E584" s="2">
        <v>8092</v>
      </c>
      <c r="F584" s="10">
        <v>93.42</v>
      </c>
      <c r="G584" s="10">
        <f t="shared" si="9"/>
        <v>755954.64</v>
      </c>
    </row>
    <row r="585" spans="1:7" x14ac:dyDescent="0.25">
      <c r="A585" t="s">
        <v>139</v>
      </c>
      <c r="B585" t="s">
        <v>398</v>
      </c>
      <c r="C585" t="s">
        <v>401</v>
      </c>
      <c r="D585" s="1">
        <v>43848</v>
      </c>
      <c r="E585" s="2">
        <v>9660</v>
      </c>
      <c r="F585" s="3">
        <v>401.91</v>
      </c>
      <c r="G585" s="3">
        <f t="shared" si="9"/>
        <v>3882450.6</v>
      </c>
    </row>
    <row r="586" spans="1:7" x14ac:dyDescent="0.25">
      <c r="A586" t="s">
        <v>814</v>
      </c>
      <c r="B586" t="s">
        <v>393</v>
      </c>
      <c r="C586" t="s">
        <v>463</v>
      </c>
      <c r="D586" s="1">
        <v>43835</v>
      </c>
      <c r="E586" s="2">
        <v>5305</v>
      </c>
      <c r="F586" s="3">
        <v>416.35</v>
      </c>
      <c r="G586" s="3">
        <f t="shared" si="9"/>
        <v>2208736.75</v>
      </c>
    </row>
    <row r="587" spans="1:7" x14ac:dyDescent="0.25">
      <c r="A587" t="s">
        <v>815</v>
      </c>
      <c r="B587" t="s">
        <v>395</v>
      </c>
      <c r="C587" t="s">
        <v>401</v>
      </c>
      <c r="D587" s="1">
        <v>43856</v>
      </c>
      <c r="E587" s="2">
        <v>8626</v>
      </c>
      <c r="F587" s="3">
        <v>198.59</v>
      </c>
      <c r="G587" s="3">
        <f t="shared" si="9"/>
        <v>1713037.34</v>
      </c>
    </row>
    <row r="588" spans="1:7" x14ac:dyDescent="0.25">
      <c r="A588" t="s">
        <v>816</v>
      </c>
      <c r="B588" t="s">
        <v>397</v>
      </c>
      <c r="C588" t="s">
        <v>410</v>
      </c>
      <c r="D588" s="1">
        <v>43869</v>
      </c>
      <c r="E588" s="2">
        <v>8507</v>
      </c>
      <c r="F588" s="3">
        <v>52.54</v>
      </c>
      <c r="G588" s="3">
        <f t="shared" si="9"/>
        <v>446957.77999999997</v>
      </c>
    </row>
    <row r="589" spans="1:7" x14ac:dyDescent="0.25">
      <c r="A589" t="s">
        <v>241</v>
      </c>
      <c r="B589" t="s">
        <v>396</v>
      </c>
      <c r="C589" t="s">
        <v>401</v>
      </c>
      <c r="D589" s="1">
        <v>43880</v>
      </c>
      <c r="E589" s="2">
        <v>8592</v>
      </c>
      <c r="F589" s="3">
        <v>482.8</v>
      </c>
      <c r="G589" s="3">
        <f t="shared" si="9"/>
        <v>4148217.6</v>
      </c>
    </row>
    <row r="590" spans="1:7" x14ac:dyDescent="0.25">
      <c r="A590" t="s">
        <v>245</v>
      </c>
      <c r="B590" t="s">
        <v>398</v>
      </c>
      <c r="C590" t="s">
        <v>463</v>
      </c>
      <c r="D590" s="1">
        <v>43883</v>
      </c>
      <c r="E590" s="2">
        <v>862</v>
      </c>
      <c r="F590" s="3">
        <v>356.65</v>
      </c>
      <c r="G590" s="3">
        <f t="shared" si="9"/>
        <v>307432.3</v>
      </c>
    </row>
    <row r="591" spans="1:7" x14ac:dyDescent="0.25">
      <c r="A591" t="s">
        <v>218</v>
      </c>
      <c r="B591" t="s">
        <v>398</v>
      </c>
      <c r="C591" t="s">
        <v>410</v>
      </c>
      <c r="D591" s="1">
        <v>43876</v>
      </c>
      <c r="E591" s="2">
        <v>742</v>
      </c>
      <c r="F591" s="3">
        <v>204.12</v>
      </c>
      <c r="G591" s="3">
        <f t="shared" si="9"/>
        <v>151457.04</v>
      </c>
    </row>
    <row r="592" spans="1:7" x14ac:dyDescent="0.25">
      <c r="A592" t="s">
        <v>187</v>
      </c>
      <c r="B592" t="s">
        <v>400</v>
      </c>
      <c r="C592" t="s">
        <v>411</v>
      </c>
      <c r="D592" s="1">
        <v>43889</v>
      </c>
      <c r="E592" s="2">
        <v>7235</v>
      </c>
      <c r="F592" s="3">
        <v>210.19</v>
      </c>
      <c r="G592" s="3">
        <f t="shared" si="9"/>
        <v>1520724.65</v>
      </c>
    </row>
    <row r="593" spans="1:7" x14ac:dyDescent="0.25">
      <c r="A593" t="s">
        <v>817</v>
      </c>
      <c r="B593" t="s">
        <v>399</v>
      </c>
      <c r="C593" t="s">
        <v>463</v>
      </c>
      <c r="D593" s="1">
        <v>43863</v>
      </c>
      <c r="E593" s="2">
        <v>6717</v>
      </c>
      <c r="F593" s="3">
        <v>292.66000000000003</v>
      </c>
      <c r="G593" s="3">
        <f t="shared" si="9"/>
        <v>1965797.2200000002</v>
      </c>
    </row>
    <row r="594" spans="1:7" x14ac:dyDescent="0.25">
      <c r="A594" t="s">
        <v>818</v>
      </c>
      <c r="B594" t="s">
        <v>400</v>
      </c>
      <c r="C594" t="s">
        <v>401</v>
      </c>
      <c r="D594" s="1">
        <v>43865</v>
      </c>
      <c r="E594" s="2">
        <v>174</v>
      </c>
      <c r="F594" s="3">
        <v>478.22</v>
      </c>
      <c r="G594" s="3">
        <f t="shared" si="9"/>
        <v>83210.28</v>
      </c>
    </row>
    <row r="595" spans="1:7" x14ac:dyDescent="0.25">
      <c r="A595" t="s">
        <v>819</v>
      </c>
      <c r="B595" t="s">
        <v>400</v>
      </c>
      <c r="C595" t="s">
        <v>411</v>
      </c>
      <c r="D595" s="1">
        <v>43859</v>
      </c>
      <c r="E595" s="2">
        <v>7870</v>
      </c>
      <c r="F595" s="3">
        <v>62.13</v>
      </c>
      <c r="G595" s="3">
        <f t="shared" si="9"/>
        <v>488963.10000000003</v>
      </c>
    </row>
    <row r="596" spans="1:7" x14ac:dyDescent="0.25">
      <c r="A596" t="s">
        <v>56</v>
      </c>
      <c r="B596" t="s">
        <v>399</v>
      </c>
      <c r="C596" t="s">
        <v>406</v>
      </c>
      <c r="D596" s="1">
        <v>43852</v>
      </c>
      <c r="E596" s="2">
        <v>4229</v>
      </c>
      <c r="F596" s="3">
        <v>333.87</v>
      </c>
      <c r="G596" s="3">
        <f t="shared" si="9"/>
        <v>1411936.23</v>
      </c>
    </row>
    <row r="597" spans="1:7" x14ac:dyDescent="0.25">
      <c r="A597" t="s">
        <v>820</v>
      </c>
      <c r="B597" t="s">
        <v>398</v>
      </c>
      <c r="C597" t="s">
        <v>463</v>
      </c>
      <c r="D597" s="1">
        <v>43888</v>
      </c>
      <c r="E597" s="2">
        <v>827</v>
      </c>
      <c r="F597" s="3">
        <v>471.93</v>
      </c>
      <c r="G597" s="3">
        <f t="shared" si="9"/>
        <v>390286.11</v>
      </c>
    </row>
    <row r="598" spans="1:7" x14ac:dyDescent="0.25">
      <c r="A598" t="s">
        <v>39</v>
      </c>
      <c r="B598" t="s">
        <v>393</v>
      </c>
      <c r="C598" t="s">
        <v>410</v>
      </c>
      <c r="D598" s="1">
        <v>43877</v>
      </c>
      <c r="E598" s="2">
        <v>7364</v>
      </c>
      <c r="F598" s="3">
        <v>194.73</v>
      </c>
      <c r="G598" s="3">
        <f t="shared" si="9"/>
        <v>1433991.72</v>
      </c>
    </row>
    <row r="599" spans="1:7" x14ac:dyDescent="0.25">
      <c r="A599" t="s">
        <v>317</v>
      </c>
      <c r="B599" t="s">
        <v>394</v>
      </c>
      <c r="C599" t="s">
        <v>410</v>
      </c>
      <c r="D599" s="1">
        <v>43848</v>
      </c>
      <c r="E599" s="2">
        <v>4306</v>
      </c>
      <c r="F599" s="3">
        <v>373.65</v>
      </c>
      <c r="G599" s="3">
        <f t="shared" si="9"/>
        <v>1608936.9</v>
      </c>
    </row>
    <row r="600" spans="1:7" x14ac:dyDescent="0.25">
      <c r="A600" t="s">
        <v>141</v>
      </c>
      <c r="B600" t="s">
        <v>395</v>
      </c>
      <c r="C600" t="s">
        <v>411</v>
      </c>
      <c r="D600" s="1">
        <v>43844</v>
      </c>
      <c r="E600" s="2">
        <v>5023</v>
      </c>
      <c r="F600" s="3">
        <v>358.15</v>
      </c>
      <c r="G600" s="3">
        <f t="shared" si="9"/>
        <v>1798987.45</v>
      </c>
    </row>
    <row r="601" spans="1:7" x14ac:dyDescent="0.25">
      <c r="A601" t="s">
        <v>162</v>
      </c>
      <c r="B601" t="s">
        <v>400</v>
      </c>
      <c r="C601" t="s">
        <v>406</v>
      </c>
      <c r="D601" s="1">
        <v>43883</v>
      </c>
      <c r="E601" s="2">
        <v>5245</v>
      </c>
      <c r="F601" s="3">
        <v>474.58</v>
      </c>
      <c r="G601" s="3">
        <f t="shared" si="9"/>
        <v>2489172.1</v>
      </c>
    </row>
    <row r="602" spans="1:7" x14ac:dyDescent="0.25">
      <c r="A602" t="s">
        <v>821</v>
      </c>
      <c r="B602" t="s">
        <v>394</v>
      </c>
      <c r="C602" t="s">
        <v>408</v>
      </c>
      <c r="D602" s="1">
        <v>43851</v>
      </c>
      <c r="E602" s="2">
        <v>6415</v>
      </c>
      <c r="F602" s="3">
        <v>72.08</v>
      </c>
      <c r="G602" s="3">
        <f t="shared" si="9"/>
        <v>462393.2</v>
      </c>
    </row>
    <row r="603" spans="1:7" x14ac:dyDescent="0.25">
      <c r="A603" t="s">
        <v>822</v>
      </c>
      <c r="B603" t="s">
        <v>399</v>
      </c>
      <c r="C603" t="s">
        <v>463</v>
      </c>
      <c r="D603" s="1">
        <v>43881</v>
      </c>
      <c r="E603" s="2">
        <v>4680</v>
      </c>
      <c r="F603" s="3">
        <v>386.88</v>
      </c>
      <c r="G603" s="3">
        <f t="shared" si="9"/>
        <v>1810598.4</v>
      </c>
    </row>
    <row r="604" spans="1:7" x14ac:dyDescent="0.25">
      <c r="A604" t="s">
        <v>823</v>
      </c>
      <c r="B604" t="s">
        <v>400</v>
      </c>
      <c r="C604" t="s">
        <v>406</v>
      </c>
      <c r="D604" s="1">
        <v>43856</v>
      </c>
      <c r="E604" s="2">
        <v>2052</v>
      </c>
      <c r="F604" s="3">
        <v>245.06</v>
      </c>
      <c r="G604" s="3">
        <f t="shared" si="9"/>
        <v>502863.12</v>
      </c>
    </row>
    <row r="605" spans="1:7" x14ac:dyDescent="0.25">
      <c r="A605" t="s">
        <v>824</v>
      </c>
      <c r="B605" t="s">
        <v>393</v>
      </c>
      <c r="C605" t="s">
        <v>413</v>
      </c>
      <c r="D605" s="1">
        <v>43844</v>
      </c>
      <c r="E605" s="2">
        <v>9022</v>
      </c>
      <c r="F605" s="10">
        <v>486.51</v>
      </c>
      <c r="G605" s="10">
        <f t="shared" si="9"/>
        <v>4389293.22</v>
      </c>
    </row>
    <row r="606" spans="1:7" x14ac:dyDescent="0.25">
      <c r="A606" t="s">
        <v>825</v>
      </c>
      <c r="B606" t="s">
        <v>395</v>
      </c>
      <c r="C606" t="s">
        <v>410</v>
      </c>
      <c r="D606" s="1">
        <v>43882</v>
      </c>
      <c r="E606" s="2">
        <v>8271</v>
      </c>
      <c r="F606" s="3">
        <v>467.42</v>
      </c>
      <c r="G606" s="3">
        <f t="shared" si="9"/>
        <v>3866030.8200000003</v>
      </c>
    </row>
    <row r="607" spans="1:7" x14ac:dyDescent="0.25">
      <c r="A607" t="s">
        <v>826</v>
      </c>
      <c r="B607" t="s">
        <v>400</v>
      </c>
      <c r="C607" t="s">
        <v>412</v>
      </c>
      <c r="D607" s="1">
        <v>43879</v>
      </c>
      <c r="E607" s="2">
        <v>3341</v>
      </c>
      <c r="F607" s="3">
        <v>278.31</v>
      </c>
      <c r="G607" s="3">
        <f t="shared" si="9"/>
        <v>929833.71</v>
      </c>
    </row>
    <row r="608" spans="1:7" x14ac:dyDescent="0.25">
      <c r="A608" t="s">
        <v>827</v>
      </c>
      <c r="B608" t="s">
        <v>399</v>
      </c>
      <c r="C608" t="s">
        <v>463</v>
      </c>
      <c r="D608" s="1">
        <v>43841</v>
      </c>
      <c r="E608" s="2">
        <v>9362</v>
      </c>
      <c r="F608" s="3">
        <v>212.57</v>
      </c>
      <c r="G608" s="3">
        <f t="shared" si="9"/>
        <v>1990080.3399999999</v>
      </c>
    </row>
    <row r="609" spans="1:7" x14ac:dyDescent="0.25">
      <c r="A609" t="s">
        <v>828</v>
      </c>
      <c r="B609" t="s">
        <v>397</v>
      </c>
      <c r="C609" t="s">
        <v>463</v>
      </c>
      <c r="D609" s="1">
        <v>43864</v>
      </c>
      <c r="E609" s="2">
        <v>4380</v>
      </c>
      <c r="F609" s="3">
        <v>76.27</v>
      </c>
      <c r="G609" s="3">
        <f t="shared" si="9"/>
        <v>334062.59999999998</v>
      </c>
    </row>
    <row r="610" spans="1:7" x14ac:dyDescent="0.25">
      <c r="A610" t="s">
        <v>829</v>
      </c>
      <c r="B610" t="s">
        <v>394</v>
      </c>
      <c r="C610" t="s">
        <v>413</v>
      </c>
      <c r="D610" s="1">
        <v>43835</v>
      </c>
      <c r="E610" s="2">
        <v>7870</v>
      </c>
      <c r="F610" s="10">
        <v>195.45</v>
      </c>
      <c r="G610" s="10">
        <f t="shared" si="9"/>
        <v>1538191.5</v>
      </c>
    </row>
    <row r="611" spans="1:7" x14ac:dyDescent="0.25">
      <c r="A611" t="s">
        <v>57</v>
      </c>
      <c r="B611" t="s">
        <v>396</v>
      </c>
      <c r="C611" t="s">
        <v>407</v>
      </c>
      <c r="D611" s="1">
        <v>43877</v>
      </c>
      <c r="E611" s="2">
        <v>9505</v>
      </c>
      <c r="F611" s="3">
        <v>177.47</v>
      </c>
      <c r="G611" s="3">
        <f t="shared" si="9"/>
        <v>1686852.35</v>
      </c>
    </row>
    <row r="612" spans="1:7" x14ac:dyDescent="0.25">
      <c r="A612" t="s">
        <v>830</v>
      </c>
      <c r="B612" t="s">
        <v>400</v>
      </c>
      <c r="C612" t="s">
        <v>408</v>
      </c>
      <c r="D612" s="1">
        <v>43879</v>
      </c>
      <c r="E612" s="2">
        <v>5628</v>
      </c>
      <c r="F612" s="3">
        <v>389.4</v>
      </c>
      <c r="G612" s="3">
        <f t="shared" si="9"/>
        <v>2191543.1999999997</v>
      </c>
    </row>
    <row r="613" spans="1:7" x14ac:dyDescent="0.25">
      <c r="A613" t="s">
        <v>831</v>
      </c>
      <c r="B613" t="s">
        <v>400</v>
      </c>
      <c r="C613" t="s">
        <v>406</v>
      </c>
      <c r="D613" s="1">
        <v>43873</v>
      </c>
      <c r="E613" s="2">
        <v>1404</v>
      </c>
      <c r="F613" s="3">
        <v>50.42</v>
      </c>
      <c r="G613" s="3">
        <f t="shared" si="9"/>
        <v>70789.680000000008</v>
      </c>
    </row>
    <row r="614" spans="1:7" x14ac:dyDescent="0.25">
      <c r="A614" t="s">
        <v>832</v>
      </c>
      <c r="B614" t="s">
        <v>393</v>
      </c>
      <c r="C614" t="s">
        <v>463</v>
      </c>
      <c r="D614" s="1">
        <v>43869</v>
      </c>
      <c r="E614" s="2">
        <v>4187</v>
      </c>
      <c r="F614" s="3">
        <v>213.76</v>
      </c>
      <c r="G614" s="3">
        <f t="shared" si="9"/>
        <v>895013.12</v>
      </c>
    </row>
    <row r="615" spans="1:7" x14ac:dyDescent="0.25">
      <c r="A615" t="s">
        <v>346</v>
      </c>
      <c r="B615" t="s">
        <v>400</v>
      </c>
      <c r="C615" t="s">
        <v>463</v>
      </c>
      <c r="D615" s="1">
        <v>43862</v>
      </c>
      <c r="E615" s="2">
        <v>4896</v>
      </c>
      <c r="F615" s="3">
        <v>394.67</v>
      </c>
      <c r="G615" s="3">
        <f t="shared" si="9"/>
        <v>1932304.32</v>
      </c>
    </row>
    <row r="616" spans="1:7" x14ac:dyDescent="0.25">
      <c r="A616" t="s">
        <v>334</v>
      </c>
      <c r="B616" t="s">
        <v>396</v>
      </c>
      <c r="C616" t="s">
        <v>407</v>
      </c>
      <c r="D616" s="1">
        <v>43832</v>
      </c>
      <c r="E616" s="2">
        <v>6079</v>
      </c>
      <c r="F616" s="3">
        <v>178.74</v>
      </c>
      <c r="G616" s="3">
        <f t="shared" si="9"/>
        <v>1086560.46</v>
      </c>
    </row>
    <row r="617" spans="1:7" x14ac:dyDescent="0.25">
      <c r="A617" t="s">
        <v>833</v>
      </c>
      <c r="B617" t="s">
        <v>399</v>
      </c>
      <c r="C617" t="s">
        <v>410</v>
      </c>
      <c r="D617" s="1">
        <v>43869</v>
      </c>
      <c r="E617" s="2">
        <v>5362</v>
      </c>
      <c r="F617" s="3">
        <v>114.59</v>
      </c>
      <c r="G617" s="3">
        <f t="shared" si="9"/>
        <v>614431.58000000007</v>
      </c>
    </row>
    <row r="618" spans="1:7" x14ac:dyDescent="0.25">
      <c r="A618" t="s">
        <v>834</v>
      </c>
      <c r="B618" t="s">
        <v>398</v>
      </c>
      <c r="C618" t="s">
        <v>407</v>
      </c>
      <c r="D618" s="1">
        <v>43858</v>
      </c>
      <c r="E618" s="2">
        <v>3093</v>
      </c>
      <c r="F618" s="3">
        <v>353.02</v>
      </c>
      <c r="G618" s="3">
        <f t="shared" si="9"/>
        <v>1091890.8599999999</v>
      </c>
    </row>
    <row r="619" spans="1:7" x14ac:dyDescent="0.25">
      <c r="A619" t="s">
        <v>835</v>
      </c>
      <c r="B619" t="s">
        <v>393</v>
      </c>
      <c r="C619" t="s">
        <v>401</v>
      </c>
      <c r="D619" s="1">
        <v>43863</v>
      </c>
      <c r="E619" s="2">
        <v>7910</v>
      </c>
      <c r="F619" s="3">
        <v>331.6</v>
      </c>
      <c r="G619" s="3">
        <f t="shared" si="9"/>
        <v>2622956</v>
      </c>
    </row>
    <row r="620" spans="1:7" x14ac:dyDescent="0.25">
      <c r="A620" t="s">
        <v>836</v>
      </c>
      <c r="B620" t="s">
        <v>397</v>
      </c>
      <c r="C620" t="s">
        <v>408</v>
      </c>
      <c r="D620" s="1">
        <v>43860</v>
      </c>
      <c r="E620" s="2">
        <v>3268</v>
      </c>
      <c r="F620" s="3">
        <v>269.83</v>
      </c>
      <c r="G620" s="3">
        <f t="shared" si="9"/>
        <v>881804.44</v>
      </c>
    </row>
    <row r="621" spans="1:7" x14ac:dyDescent="0.25">
      <c r="A621" t="s">
        <v>837</v>
      </c>
      <c r="B621" t="s">
        <v>393</v>
      </c>
      <c r="C621" t="s">
        <v>410</v>
      </c>
      <c r="D621" s="1">
        <v>43834</v>
      </c>
      <c r="E621" s="2">
        <v>6107</v>
      </c>
      <c r="F621" s="3">
        <v>278.49</v>
      </c>
      <c r="G621" s="3">
        <f t="shared" si="9"/>
        <v>1700738.4300000002</v>
      </c>
    </row>
    <row r="622" spans="1:7" x14ac:dyDescent="0.25">
      <c r="A622" t="s">
        <v>838</v>
      </c>
      <c r="B622" t="s">
        <v>398</v>
      </c>
      <c r="C622" t="s">
        <v>406</v>
      </c>
      <c r="D622" s="1">
        <v>43836</v>
      </c>
      <c r="E622" s="2">
        <v>2730</v>
      </c>
      <c r="F622" s="3">
        <v>199.91</v>
      </c>
      <c r="G622" s="3">
        <f t="shared" si="9"/>
        <v>545754.30000000005</v>
      </c>
    </row>
    <row r="623" spans="1:7" x14ac:dyDescent="0.25">
      <c r="A623" t="s">
        <v>839</v>
      </c>
      <c r="B623" t="s">
        <v>400</v>
      </c>
      <c r="C623" t="s">
        <v>406</v>
      </c>
      <c r="D623" s="1">
        <v>43855</v>
      </c>
      <c r="E623" s="2">
        <v>9151</v>
      </c>
      <c r="F623" s="3">
        <v>366.02</v>
      </c>
      <c r="G623" s="3">
        <f t="shared" si="9"/>
        <v>3349449.02</v>
      </c>
    </row>
    <row r="624" spans="1:7" x14ac:dyDescent="0.25">
      <c r="A624" t="s">
        <v>840</v>
      </c>
      <c r="B624" t="s">
        <v>394</v>
      </c>
      <c r="C624" t="s">
        <v>410</v>
      </c>
      <c r="D624" s="1">
        <v>43864</v>
      </c>
      <c r="E624" s="2">
        <v>7480</v>
      </c>
      <c r="F624" s="3">
        <v>432.97</v>
      </c>
      <c r="G624" s="3">
        <f t="shared" si="9"/>
        <v>3238615.6</v>
      </c>
    </row>
    <row r="625" spans="1:7" x14ac:dyDescent="0.25">
      <c r="A625" t="s">
        <v>341</v>
      </c>
      <c r="B625" t="s">
        <v>394</v>
      </c>
      <c r="C625" t="s">
        <v>410</v>
      </c>
      <c r="D625" s="1">
        <v>43880</v>
      </c>
      <c r="E625" s="2">
        <v>7348</v>
      </c>
      <c r="F625" s="3">
        <v>483.46</v>
      </c>
      <c r="G625" s="3">
        <f t="shared" si="9"/>
        <v>3552464.08</v>
      </c>
    </row>
    <row r="626" spans="1:7" x14ac:dyDescent="0.25">
      <c r="A626" t="s">
        <v>841</v>
      </c>
      <c r="B626" t="s">
        <v>399</v>
      </c>
      <c r="C626" t="s">
        <v>401</v>
      </c>
      <c r="D626" s="1">
        <v>43879</v>
      </c>
      <c r="E626" s="2">
        <v>352</v>
      </c>
      <c r="F626" s="3">
        <v>469.21</v>
      </c>
      <c r="G626" s="3">
        <f t="shared" si="9"/>
        <v>165161.91999999998</v>
      </c>
    </row>
    <row r="627" spans="1:7" x14ac:dyDescent="0.25">
      <c r="A627" t="s">
        <v>842</v>
      </c>
      <c r="B627" t="s">
        <v>397</v>
      </c>
      <c r="C627" t="s">
        <v>406</v>
      </c>
      <c r="D627" s="1">
        <v>43863</v>
      </c>
      <c r="E627" s="2">
        <v>5214</v>
      </c>
      <c r="F627" s="3">
        <v>199.18</v>
      </c>
      <c r="G627" s="3">
        <f t="shared" si="9"/>
        <v>1038524.52</v>
      </c>
    </row>
    <row r="628" spans="1:7" x14ac:dyDescent="0.25">
      <c r="A628" t="s">
        <v>843</v>
      </c>
      <c r="B628" t="s">
        <v>398</v>
      </c>
      <c r="C628" t="s">
        <v>413</v>
      </c>
      <c r="D628" s="1">
        <v>43859</v>
      </c>
      <c r="E628" s="2">
        <v>3876</v>
      </c>
      <c r="F628" s="10">
        <v>405.23</v>
      </c>
      <c r="G628" s="10">
        <f t="shared" si="9"/>
        <v>1570671.48</v>
      </c>
    </row>
    <row r="629" spans="1:7" x14ac:dyDescent="0.25">
      <c r="A629" t="s">
        <v>844</v>
      </c>
      <c r="B629" t="s">
        <v>400</v>
      </c>
      <c r="C629" t="s">
        <v>410</v>
      </c>
      <c r="D629" s="1">
        <v>43865</v>
      </c>
      <c r="E629" s="2">
        <v>3693</v>
      </c>
      <c r="F629" s="3">
        <v>210.07</v>
      </c>
      <c r="G629" s="3">
        <f t="shared" si="9"/>
        <v>775788.51</v>
      </c>
    </row>
    <row r="630" spans="1:7" x14ac:dyDescent="0.25">
      <c r="A630" t="s">
        <v>369</v>
      </c>
      <c r="B630" t="s">
        <v>394</v>
      </c>
      <c r="C630" t="s">
        <v>407</v>
      </c>
      <c r="D630" s="1">
        <v>43855</v>
      </c>
      <c r="E630" s="2">
        <v>3753</v>
      </c>
      <c r="F630" s="3">
        <v>244.94</v>
      </c>
      <c r="G630" s="3">
        <f t="shared" si="9"/>
        <v>919259.82</v>
      </c>
    </row>
    <row r="631" spans="1:7" x14ac:dyDescent="0.25">
      <c r="A631" t="s">
        <v>845</v>
      </c>
      <c r="B631" t="s">
        <v>393</v>
      </c>
      <c r="C631" t="s">
        <v>463</v>
      </c>
      <c r="D631" s="1">
        <v>43832</v>
      </c>
      <c r="E631" s="2">
        <v>9964</v>
      </c>
      <c r="F631" s="3">
        <v>455.59</v>
      </c>
      <c r="G631" s="3">
        <f t="shared" si="9"/>
        <v>4539498.76</v>
      </c>
    </row>
    <row r="632" spans="1:7" x14ac:dyDescent="0.25">
      <c r="A632" t="s">
        <v>212</v>
      </c>
      <c r="B632" t="s">
        <v>395</v>
      </c>
      <c r="C632" t="s">
        <v>413</v>
      </c>
      <c r="D632" s="1">
        <v>43833</v>
      </c>
      <c r="E632" s="2">
        <v>7474</v>
      </c>
      <c r="F632" s="10">
        <v>192.33</v>
      </c>
      <c r="G632" s="10">
        <f t="shared" si="9"/>
        <v>1437474.4200000002</v>
      </c>
    </row>
    <row r="633" spans="1:7" x14ac:dyDescent="0.25">
      <c r="A633" t="s">
        <v>236</v>
      </c>
      <c r="B633" t="s">
        <v>399</v>
      </c>
      <c r="C633" t="s">
        <v>408</v>
      </c>
      <c r="D633" s="1">
        <v>43835</v>
      </c>
      <c r="E633" s="2">
        <v>8059</v>
      </c>
      <c r="F633" s="3">
        <v>329.54</v>
      </c>
      <c r="G633" s="3">
        <f t="shared" si="9"/>
        <v>2655762.8600000003</v>
      </c>
    </row>
    <row r="634" spans="1:7" x14ac:dyDescent="0.25">
      <c r="A634" t="s">
        <v>846</v>
      </c>
      <c r="B634" t="s">
        <v>400</v>
      </c>
      <c r="C634" t="s">
        <v>413</v>
      </c>
      <c r="D634" s="1">
        <v>43856</v>
      </c>
      <c r="E634" s="2">
        <v>3538</v>
      </c>
      <c r="F634" s="10">
        <v>222.17</v>
      </c>
      <c r="G634" s="10">
        <f t="shared" si="9"/>
        <v>786037.46</v>
      </c>
    </row>
    <row r="635" spans="1:7" x14ac:dyDescent="0.25">
      <c r="A635" t="s">
        <v>847</v>
      </c>
      <c r="B635" t="s">
        <v>397</v>
      </c>
      <c r="C635" t="s">
        <v>410</v>
      </c>
      <c r="D635" s="1">
        <v>43889</v>
      </c>
      <c r="E635" s="2">
        <v>4322</v>
      </c>
      <c r="F635" s="3">
        <v>408.87</v>
      </c>
      <c r="G635" s="3">
        <f t="shared" si="9"/>
        <v>1767136.1400000001</v>
      </c>
    </row>
    <row r="636" spans="1:7" x14ac:dyDescent="0.25">
      <c r="A636" t="s">
        <v>848</v>
      </c>
      <c r="B636" t="s">
        <v>394</v>
      </c>
      <c r="C636" t="s">
        <v>410</v>
      </c>
      <c r="D636" s="1">
        <v>43845</v>
      </c>
      <c r="E636" s="2">
        <v>7499</v>
      </c>
      <c r="F636" s="3">
        <v>453.59</v>
      </c>
      <c r="G636" s="3">
        <f t="shared" si="9"/>
        <v>3401471.4099999997</v>
      </c>
    </row>
    <row r="637" spans="1:7" x14ac:dyDescent="0.25">
      <c r="A637" t="s">
        <v>849</v>
      </c>
      <c r="B637" t="s">
        <v>400</v>
      </c>
      <c r="C637" t="s">
        <v>412</v>
      </c>
      <c r="D637" s="1">
        <v>43865</v>
      </c>
      <c r="E637" s="2">
        <v>5467</v>
      </c>
      <c r="F637" s="3">
        <v>241.15</v>
      </c>
      <c r="G637" s="3">
        <f t="shared" si="9"/>
        <v>1318367.05</v>
      </c>
    </row>
    <row r="638" spans="1:7" x14ac:dyDescent="0.25">
      <c r="A638" t="s">
        <v>16</v>
      </c>
      <c r="B638" t="s">
        <v>399</v>
      </c>
      <c r="C638" t="s">
        <v>408</v>
      </c>
      <c r="D638" s="1">
        <v>43864</v>
      </c>
      <c r="E638" s="2">
        <v>3395</v>
      </c>
      <c r="F638" s="3">
        <v>345.17</v>
      </c>
      <c r="G638" s="3">
        <f t="shared" si="9"/>
        <v>1171852.1500000001</v>
      </c>
    </row>
    <row r="639" spans="1:7" x14ac:dyDescent="0.25">
      <c r="A639" t="s">
        <v>850</v>
      </c>
      <c r="B639" t="s">
        <v>399</v>
      </c>
      <c r="C639" t="s">
        <v>410</v>
      </c>
      <c r="D639" s="1">
        <v>43883</v>
      </c>
      <c r="E639" s="2">
        <v>8457</v>
      </c>
      <c r="F639" s="3">
        <v>244.02</v>
      </c>
      <c r="G639" s="3">
        <f t="shared" si="9"/>
        <v>2063677.1400000001</v>
      </c>
    </row>
    <row r="640" spans="1:7" x14ac:dyDescent="0.25">
      <c r="A640" t="s">
        <v>851</v>
      </c>
      <c r="B640" t="s">
        <v>397</v>
      </c>
      <c r="C640" t="s">
        <v>407</v>
      </c>
      <c r="D640" s="1">
        <v>43854</v>
      </c>
      <c r="E640" s="2">
        <v>3676</v>
      </c>
      <c r="F640" s="3">
        <v>388.8</v>
      </c>
      <c r="G640" s="3">
        <f t="shared" si="9"/>
        <v>1429228.8</v>
      </c>
    </row>
    <row r="641" spans="1:7" x14ac:dyDescent="0.25">
      <c r="A641" t="s">
        <v>852</v>
      </c>
      <c r="B641" t="s">
        <v>397</v>
      </c>
      <c r="C641" t="s">
        <v>407</v>
      </c>
      <c r="D641" s="1">
        <v>43849</v>
      </c>
      <c r="E641" s="2">
        <v>5983</v>
      </c>
      <c r="F641" s="3">
        <v>160.34</v>
      </c>
      <c r="G641" s="3">
        <f t="shared" si="9"/>
        <v>959314.22</v>
      </c>
    </row>
    <row r="642" spans="1:7" x14ac:dyDescent="0.25">
      <c r="A642" t="s">
        <v>853</v>
      </c>
      <c r="B642" t="s">
        <v>397</v>
      </c>
      <c r="C642" t="s">
        <v>406</v>
      </c>
      <c r="D642" s="1">
        <v>43876</v>
      </c>
      <c r="E642" s="2">
        <v>118</v>
      </c>
      <c r="F642" s="3">
        <v>452.72</v>
      </c>
      <c r="G642" s="3">
        <f t="shared" si="9"/>
        <v>53420.960000000006</v>
      </c>
    </row>
    <row r="643" spans="1:7" x14ac:dyDescent="0.25">
      <c r="A643" t="s">
        <v>234</v>
      </c>
      <c r="B643" t="s">
        <v>399</v>
      </c>
      <c r="C643" t="s">
        <v>406</v>
      </c>
      <c r="D643" s="1">
        <v>43871</v>
      </c>
      <c r="E643" s="2">
        <v>8706</v>
      </c>
      <c r="F643" s="3">
        <v>195.82</v>
      </c>
      <c r="G643" s="3">
        <f t="shared" ref="G643:G706" si="10">E643*F643</f>
        <v>1704808.92</v>
      </c>
    </row>
    <row r="644" spans="1:7" x14ac:dyDescent="0.25">
      <c r="A644" t="s">
        <v>854</v>
      </c>
      <c r="B644" t="s">
        <v>396</v>
      </c>
      <c r="C644" t="s">
        <v>407</v>
      </c>
      <c r="D644" s="1">
        <v>43861</v>
      </c>
      <c r="E644" s="2">
        <v>2765</v>
      </c>
      <c r="F644" s="3">
        <v>265.86</v>
      </c>
      <c r="G644" s="3">
        <f t="shared" si="10"/>
        <v>735102.9</v>
      </c>
    </row>
    <row r="645" spans="1:7" x14ac:dyDescent="0.25">
      <c r="A645" t="s">
        <v>313</v>
      </c>
      <c r="B645" t="s">
        <v>393</v>
      </c>
      <c r="C645" t="s">
        <v>401</v>
      </c>
      <c r="D645" s="1">
        <v>43864</v>
      </c>
      <c r="E645" s="2">
        <v>3122</v>
      </c>
      <c r="F645" s="3">
        <v>403.28</v>
      </c>
      <c r="G645" s="3">
        <f t="shared" si="10"/>
        <v>1259040.1599999999</v>
      </c>
    </row>
    <row r="646" spans="1:7" x14ac:dyDescent="0.25">
      <c r="A646" t="s">
        <v>145</v>
      </c>
      <c r="B646" t="s">
        <v>396</v>
      </c>
      <c r="C646" t="s">
        <v>406</v>
      </c>
      <c r="D646" s="1">
        <v>43852</v>
      </c>
      <c r="E646" s="2">
        <v>785</v>
      </c>
      <c r="F646" s="3">
        <v>237.5</v>
      </c>
      <c r="G646" s="3">
        <f t="shared" si="10"/>
        <v>186437.5</v>
      </c>
    </row>
    <row r="647" spans="1:7" x14ac:dyDescent="0.25">
      <c r="A647" t="s">
        <v>855</v>
      </c>
      <c r="B647" t="s">
        <v>396</v>
      </c>
      <c r="C647" t="s">
        <v>401</v>
      </c>
      <c r="D647" s="1">
        <v>43869</v>
      </c>
      <c r="E647" s="2">
        <v>2845</v>
      </c>
      <c r="F647" s="3">
        <v>412.48</v>
      </c>
      <c r="G647" s="3">
        <f t="shared" si="10"/>
        <v>1173505.6000000001</v>
      </c>
    </row>
    <row r="648" spans="1:7" x14ac:dyDescent="0.25">
      <c r="A648" t="s">
        <v>311</v>
      </c>
      <c r="B648" t="s">
        <v>394</v>
      </c>
      <c r="C648" t="s">
        <v>412</v>
      </c>
      <c r="D648" s="1">
        <v>43837</v>
      </c>
      <c r="E648" s="2">
        <v>359</v>
      </c>
      <c r="F648" s="3">
        <v>250.03</v>
      </c>
      <c r="G648" s="3">
        <f t="shared" si="10"/>
        <v>89760.77</v>
      </c>
    </row>
    <row r="649" spans="1:7" x14ac:dyDescent="0.25">
      <c r="A649" t="s">
        <v>107</v>
      </c>
      <c r="B649" t="s">
        <v>399</v>
      </c>
      <c r="C649" t="s">
        <v>406</v>
      </c>
      <c r="D649" s="1">
        <v>43842</v>
      </c>
      <c r="E649" s="2">
        <v>5187</v>
      </c>
      <c r="F649" s="3">
        <v>276.76</v>
      </c>
      <c r="G649" s="3">
        <f t="shared" si="10"/>
        <v>1435554.1199999999</v>
      </c>
    </row>
    <row r="650" spans="1:7" x14ac:dyDescent="0.25">
      <c r="A650" t="s">
        <v>856</v>
      </c>
      <c r="B650" t="s">
        <v>396</v>
      </c>
      <c r="C650" t="s">
        <v>401</v>
      </c>
      <c r="D650" s="1">
        <v>43835</v>
      </c>
      <c r="E650" s="2">
        <v>9987</v>
      </c>
      <c r="F650" s="3">
        <v>299.60000000000002</v>
      </c>
      <c r="G650" s="3">
        <f t="shared" si="10"/>
        <v>2992105.2</v>
      </c>
    </row>
    <row r="651" spans="1:7" x14ac:dyDescent="0.25">
      <c r="A651" t="s">
        <v>857</v>
      </c>
      <c r="B651" t="s">
        <v>396</v>
      </c>
      <c r="C651" t="s">
        <v>411</v>
      </c>
      <c r="D651" s="1">
        <v>43869</v>
      </c>
      <c r="E651" s="2">
        <v>5091</v>
      </c>
      <c r="F651" s="3">
        <v>78.819999999999993</v>
      </c>
      <c r="G651" s="3">
        <f t="shared" si="10"/>
        <v>401272.61999999994</v>
      </c>
    </row>
    <row r="652" spans="1:7" x14ac:dyDescent="0.25">
      <c r="A652" t="s">
        <v>858</v>
      </c>
      <c r="B652" t="s">
        <v>398</v>
      </c>
      <c r="C652" t="s">
        <v>463</v>
      </c>
      <c r="D652" s="1">
        <v>43871</v>
      </c>
      <c r="E652" s="2">
        <v>9061</v>
      </c>
      <c r="F652" s="3">
        <v>54.04</v>
      </c>
      <c r="G652" s="3">
        <f t="shared" si="10"/>
        <v>489656.44</v>
      </c>
    </row>
    <row r="653" spans="1:7" x14ac:dyDescent="0.25">
      <c r="A653" t="s">
        <v>859</v>
      </c>
      <c r="B653" t="s">
        <v>393</v>
      </c>
      <c r="C653" t="s">
        <v>410</v>
      </c>
      <c r="D653" s="1">
        <v>43864</v>
      </c>
      <c r="E653" s="2">
        <v>8398</v>
      </c>
      <c r="F653" s="3">
        <v>270.97000000000003</v>
      </c>
      <c r="G653" s="3">
        <f t="shared" si="10"/>
        <v>2275606.06</v>
      </c>
    </row>
    <row r="654" spans="1:7" x14ac:dyDescent="0.25">
      <c r="A654" t="s">
        <v>860</v>
      </c>
      <c r="B654" t="s">
        <v>400</v>
      </c>
      <c r="C654" t="s">
        <v>401</v>
      </c>
      <c r="D654" s="1">
        <v>43839</v>
      </c>
      <c r="E654" s="2">
        <v>2197</v>
      </c>
      <c r="F654" s="3">
        <v>89.36</v>
      </c>
      <c r="G654" s="3">
        <f t="shared" si="10"/>
        <v>196323.92</v>
      </c>
    </row>
    <row r="655" spans="1:7" x14ac:dyDescent="0.25">
      <c r="A655" t="s">
        <v>861</v>
      </c>
      <c r="B655" t="s">
        <v>397</v>
      </c>
      <c r="C655" t="s">
        <v>413</v>
      </c>
      <c r="D655" s="1">
        <v>43833</v>
      </c>
      <c r="E655" s="2">
        <v>1362</v>
      </c>
      <c r="F655" s="10">
        <v>64.81</v>
      </c>
      <c r="G655" s="10">
        <f t="shared" si="10"/>
        <v>88271.22</v>
      </c>
    </row>
    <row r="656" spans="1:7" x14ac:dyDescent="0.25">
      <c r="A656" t="s">
        <v>32</v>
      </c>
      <c r="B656" t="s">
        <v>395</v>
      </c>
      <c r="C656" t="s">
        <v>408</v>
      </c>
      <c r="D656" s="1">
        <v>43859</v>
      </c>
      <c r="E656" s="2">
        <v>8942</v>
      </c>
      <c r="F656" s="3">
        <v>476.65</v>
      </c>
      <c r="G656" s="3">
        <f t="shared" si="10"/>
        <v>4262204.3</v>
      </c>
    </row>
    <row r="657" spans="1:7" x14ac:dyDescent="0.25">
      <c r="A657" t="s">
        <v>95</v>
      </c>
      <c r="B657" t="s">
        <v>396</v>
      </c>
      <c r="C657" t="s">
        <v>412</v>
      </c>
      <c r="D657" s="1">
        <v>43890</v>
      </c>
      <c r="E657" s="2">
        <v>4315</v>
      </c>
      <c r="F657" s="3">
        <v>259.22000000000003</v>
      </c>
      <c r="G657" s="3">
        <f t="shared" si="10"/>
        <v>1118534.3</v>
      </c>
    </row>
    <row r="658" spans="1:7" x14ac:dyDescent="0.25">
      <c r="A658" t="s">
        <v>388</v>
      </c>
      <c r="B658" t="s">
        <v>396</v>
      </c>
      <c r="C658" t="s">
        <v>412</v>
      </c>
      <c r="D658" s="1">
        <v>43844</v>
      </c>
      <c r="E658" s="2">
        <v>7188</v>
      </c>
      <c r="F658" s="3">
        <v>144.49</v>
      </c>
      <c r="G658" s="3">
        <f t="shared" si="10"/>
        <v>1038594.1200000001</v>
      </c>
    </row>
    <row r="659" spans="1:7" x14ac:dyDescent="0.25">
      <c r="A659" t="s">
        <v>862</v>
      </c>
      <c r="B659" t="s">
        <v>397</v>
      </c>
      <c r="C659" t="s">
        <v>407</v>
      </c>
      <c r="D659" s="1">
        <v>43856</v>
      </c>
      <c r="E659" s="2">
        <v>5774</v>
      </c>
      <c r="F659" s="3">
        <v>482.77</v>
      </c>
      <c r="G659" s="3">
        <f t="shared" si="10"/>
        <v>2787513.98</v>
      </c>
    </row>
    <row r="660" spans="1:7" x14ac:dyDescent="0.25">
      <c r="A660" t="s">
        <v>143</v>
      </c>
      <c r="B660" t="s">
        <v>399</v>
      </c>
      <c r="C660" t="s">
        <v>401</v>
      </c>
      <c r="D660" s="1">
        <v>43879</v>
      </c>
      <c r="E660" s="2">
        <v>1003</v>
      </c>
      <c r="F660" s="3">
        <v>275.33</v>
      </c>
      <c r="G660" s="3">
        <f t="shared" si="10"/>
        <v>276155.99</v>
      </c>
    </row>
    <row r="661" spans="1:7" x14ac:dyDescent="0.25">
      <c r="A661" t="s">
        <v>149</v>
      </c>
      <c r="B661" t="s">
        <v>400</v>
      </c>
      <c r="C661" t="s">
        <v>412</v>
      </c>
      <c r="D661" s="1">
        <v>43876</v>
      </c>
      <c r="E661" s="2">
        <v>5350</v>
      </c>
      <c r="F661" s="3">
        <v>90.31</v>
      </c>
      <c r="G661" s="3">
        <f t="shared" si="10"/>
        <v>483158.5</v>
      </c>
    </row>
    <row r="662" spans="1:7" x14ac:dyDescent="0.25">
      <c r="A662" t="s">
        <v>863</v>
      </c>
      <c r="B662" t="s">
        <v>399</v>
      </c>
      <c r="C662" t="s">
        <v>408</v>
      </c>
      <c r="D662" s="1">
        <v>43860</v>
      </c>
      <c r="E662" s="2">
        <v>9150</v>
      </c>
      <c r="F662" s="3">
        <v>385.97</v>
      </c>
      <c r="G662" s="3">
        <f t="shared" si="10"/>
        <v>3531625.5000000005</v>
      </c>
    </row>
    <row r="663" spans="1:7" x14ac:dyDescent="0.25">
      <c r="A663" t="s">
        <v>75</v>
      </c>
      <c r="B663" t="s">
        <v>394</v>
      </c>
      <c r="C663" t="s">
        <v>411</v>
      </c>
      <c r="D663" s="1">
        <v>43856</v>
      </c>
      <c r="E663" s="2">
        <v>3737</v>
      </c>
      <c r="F663" s="3">
        <v>209.82</v>
      </c>
      <c r="G663" s="3">
        <f t="shared" si="10"/>
        <v>784097.34</v>
      </c>
    </row>
    <row r="664" spans="1:7" x14ac:dyDescent="0.25">
      <c r="A664" t="s">
        <v>370</v>
      </c>
      <c r="B664" t="s">
        <v>398</v>
      </c>
      <c r="C664" t="s">
        <v>413</v>
      </c>
      <c r="D664" s="1">
        <v>43851</v>
      </c>
      <c r="E664" s="2">
        <v>8328</v>
      </c>
      <c r="F664" s="10">
        <v>261.23</v>
      </c>
      <c r="G664" s="10">
        <f t="shared" si="10"/>
        <v>2175523.44</v>
      </c>
    </row>
    <row r="665" spans="1:7" x14ac:dyDescent="0.25">
      <c r="A665" t="s">
        <v>301</v>
      </c>
      <c r="B665" t="s">
        <v>393</v>
      </c>
      <c r="C665" t="s">
        <v>406</v>
      </c>
      <c r="D665" s="1">
        <v>43850</v>
      </c>
      <c r="E665" s="2">
        <v>3449</v>
      </c>
      <c r="F665" s="3">
        <v>364.55</v>
      </c>
      <c r="G665" s="3">
        <f t="shared" si="10"/>
        <v>1257332.95</v>
      </c>
    </row>
    <row r="666" spans="1:7" x14ac:dyDescent="0.25">
      <c r="A666" t="s">
        <v>244</v>
      </c>
      <c r="B666" t="s">
        <v>398</v>
      </c>
      <c r="C666" t="s">
        <v>410</v>
      </c>
      <c r="D666" s="1">
        <v>43866</v>
      </c>
      <c r="E666" s="2">
        <v>9989</v>
      </c>
      <c r="F666" s="3">
        <v>257.79000000000002</v>
      </c>
      <c r="G666" s="3">
        <f t="shared" si="10"/>
        <v>2575064.31</v>
      </c>
    </row>
    <row r="667" spans="1:7" x14ac:dyDescent="0.25">
      <c r="A667" t="s">
        <v>864</v>
      </c>
      <c r="B667" t="s">
        <v>398</v>
      </c>
      <c r="C667" t="s">
        <v>411</v>
      </c>
      <c r="D667" s="1">
        <v>43885</v>
      </c>
      <c r="E667" s="2">
        <v>8402</v>
      </c>
      <c r="F667" s="3">
        <v>451.51</v>
      </c>
      <c r="G667" s="3">
        <f t="shared" si="10"/>
        <v>3793587.02</v>
      </c>
    </row>
    <row r="668" spans="1:7" x14ac:dyDescent="0.25">
      <c r="A668" t="s">
        <v>865</v>
      </c>
      <c r="B668" t="s">
        <v>396</v>
      </c>
      <c r="C668" t="s">
        <v>411</v>
      </c>
      <c r="D668" s="1">
        <v>43856</v>
      </c>
      <c r="E668" s="2">
        <v>8895</v>
      </c>
      <c r="F668" s="3">
        <v>51.14</v>
      </c>
      <c r="G668" s="3">
        <f t="shared" si="10"/>
        <v>454890.3</v>
      </c>
    </row>
    <row r="669" spans="1:7" x14ac:dyDescent="0.25">
      <c r="A669" t="s">
        <v>866</v>
      </c>
      <c r="B669" t="s">
        <v>400</v>
      </c>
      <c r="C669" t="s">
        <v>401</v>
      </c>
      <c r="D669" s="1">
        <v>43855</v>
      </c>
      <c r="E669" s="2">
        <v>819</v>
      </c>
      <c r="F669" s="3">
        <v>182.04</v>
      </c>
      <c r="G669" s="3">
        <f t="shared" si="10"/>
        <v>149090.75999999998</v>
      </c>
    </row>
    <row r="670" spans="1:7" x14ac:dyDescent="0.25">
      <c r="A670" t="s">
        <v>867</v>
      </c>
      <c r="B670" t="s">
        <v>400</v>
      </c>
      <c r="C670" t="s">
        <v>407</v>
      </c>
      <c r="D670" s="1">
        <v>43839</v>
      </c>
      <c r="E670" s="2">
        <v>5401</v>
      </c>
      <c r="F670" s="3">
        <v>59.1</v>
      </c>
      <c r="G670" s="3">
        <f t="shared" si="10"/>
        <v>319199.10000000003</v>
      </c>
    </row>
    <row r="671" spans="1:7" x14ac:dyDescent="0.25">
      <c r="A671" t="s">
        <v>155</v>
      </c>
      <c r="B671" t="s">
        <v>393</v>
      </c>
      <c r="C671" t="s">
        <v>411</v>
      </c>
      <c r="D671" s="1">
        <v>43832</v>
      </c>
      <c r="E671" s="2">
        <v>3501</v>
      </c>
      <c r="F671" s="3">
        <v>129.37</v>
      </c>
      <c r="G671" s="3">
        <f t="shared" si="10"/>
        <v>452924.37</v>
      </c>
    </row>
    <row r="672" spans="1:7" x14ac:dyDescent="0.25">
      <c r="A672" t="s">
        <v>868</v>
      </c>
      <c r="B672" t="s">
        <v>396</v>
      </c>
      <c r="C672" t="s">
        <v>411</v>
      </c>
      <c r="D672" s="1">
        <v>43866</v>
      </c>
      <c r="E672" s="2">
        <v>5623</v>
      </c>
      <c r="F672" s="3">
        <v>188.07</v>
      </c>
      <c r="G672" s="3">
        <f t="shared" si="10"/>
        <v>1057517.6099999999</v>
      </c>
    </row>
    <row r="673" spans="1:7" x14ac:dyDescent="0.25">
      <c r="A673" t="s">
        <v>33</v>
      </c>
      <c r="B673" t="s">
        <v>398</v>
      </c>
      <c r="C673" t="s">
        <v>411</v>
      </c>
      <c r="D673" s="1">
        <v>43873</v>
      </c>
      <c r="E673" s="2">
        <v>8335</v>
      </c>
      <c r="F673" s="3">
        <v>482.03</v>
      </c>
      <c r="G673" s="3">
        <f t="shared" si="10"/>
        <v>4017720.05</v>
      </c>
    </row>
    <row r="674" spans="1:7" x14ac:dyDescent="0.25">
      <c r="A674" t="s">
        <v>869</v>
      </c>
      <c r="B674" t="s">
        <v>399</v>
      </c>
      <c r="C674" t="s">
        <v>411</v>
      </c>
      <c r="D674" s="1">
        <v>43845</v>
      </c>
      <c r="E674" s="2">
        <v>1690</v>
      </c>
      <c r="F674" s="3">
        <v>418.49</v>
      </c>
      <c r="G674" s="3">
        <f t="shared" si="10"/>
        <v>707248.1</v>
      </c>
    </row>
    <row r="675" spans="1:7" x14ac:dyDescent="0.25">
      <c r="A675" t="s">
        <v>44</v>
      </c>
      <c r="B675" t="s">
        <v>400</v>
      </c>
      <c r="C675" t="s">
        <v>411</v>
      </c>
      <c r="D675" s="1">
        <v>43837</v>
      </c>
      <c r="E675" s="2">
        <v>3639</v>
      </c>
      <c r="F675" s="3">
        <v>435.58</v>
      </c>
      <c r="G675" s="3">
        <f t="shared" si="10"/>
        <v>1585075.6199999999</v>
      </c>
    </row>
    <row r="676" spans="1:7" x14ac:dyDescent="0.25">
      <c r="A676" t="s">
        <v>314</v>
      </c>
      <c r="B676" t="s">
        <v>397</v>
      </c>
      <c r="C676" t="s">
        <v>401</v>
      </c>
      <c r="D676" s="1">
        <v>43863</v>
      </c>
      <c r="E676" s="2">
        <v>9742</v>
      </c>
      <c r="F676" s="3">
        <v>345.83</v>
      </c>
      <c r="G676" s="3">
        <f t="shared" si="10"/>
        <v>3369075.86</v>
      </c>
    </row>
    <row r="677" spans="1:7" x14ac:dyDescent="0.25">
      <c r="A677" t="s">
        <v>870</v>
      </c>
      <c r="B677" t="s">
        <v>398</v>
      </c>
      <c r="C677" t="s">
        <v>408</v>
      </c>
      <c r="D677" s="1">
        <v>43832</v>
      </c>
      <c r="E677" s="2">
        <v>1537</v>
      </c>
      <c r="F677" s="3">
        <v>245.84</v>
      </c>
      <c r="G677" s="3">
        <f t="shared" si="10"/>
        <v>377856.08</v>
      </c>
    </row>
    <row r="678" spans="1:7" x14ac:dyDescent="0.25">
      <c r="A678" t="s">
        <v>231</v>
      </c>
      <c r="B678" t="s">
        <v>394</v>
      </c>
      <c r="C678" t="s">
        <v>408</v>
      </c>
      <c r="D678" s="1">
        <v>43846</v>
      </c>
      <c r="E678" s="2">
        <v>3229</v>
      </c>
      <c r="F678" s="3">
        <v>426.39</v>
      </c>
      <c r="G678" s="3">
        <f t="shared" si="10"/>
        <v>1376813.31</v>
      </c>
    </row>
    <row r="679" spans="1:7" x14ac:dyDescent="0.25">
      <c r="A679" t="s">
        <v>305</v>
      </c>
      <c r="B679" t="s">
        <v>394</v>
      </c>
      <c r="C679" t="s">
        <v>463</v>
      </c>
      <c r="D679" s="1">
        <v>43831</v>
      </c>
      <c r="E679" s="2">
        <v>5771</v>
      </c>
      <c r="F679" s="3">
        <v>193.57</v>
      </c>
      <c r="G679" s="3">
        <f t="shared" si="10"/>
        <v>1117092.47</v>
      </c>
    </row>
    <row r="680" spans="1:7" x14ac:dyDescent="0.25">
      <c r="A680" t="s">
        <v>871</v>
      </c>
      <c r="B680" t="s">
        <v>398</v>
      </c>
      <c r="C680" t="s">
        <v>401</v>
      </c>
      <c r="D680" s="1">
        <v>43888</v>
      </c>
      <c r="E680" s="2">
        <v>7635</v>
      </c>
      <c r="F680" s="3">
        <v>70.2</v>
      </c>
      <c r="G680" s="3">
        <f t="shared" si="10"/>
        <v>535977</v>
      </c>
    </row>
    <row r="681" spans="1:7" x14ac:dyDescent="0.25">
      <c r="A681" t="s">
        <v>872</v>
      </c>
      <c r="B681" t="s">
        <v>400</v>
      </c>
      <c r="C681" t="s">
        <v>401</v>
      </c>
      <c r="D681" s="1">
        <v>43844</v>
      </c>
      <c r="E681" s="2">
        <v>7238</v>
      </c>
      <c r="F681" s="3">
        <v>300.14999999999998</v>
      </c>
      <c r="G681" s="3">
        <f t="shared" si="10"/>
        <v>2172485.6999999997</v>
      </c>
    </row>
    <row r="682" spans="1:7" x14ac:dyDescent="0.25">
      <c r="A682" t="s">
        <v>873</v>
      </c>
      <c r="B682" t="s">
        <v>395</v>
      </c>
      <c r="C682" t="s">
        <v>406</v>
      </c>
      <c r="D682" s="1">
        <v>43867</v>
      </c>
      <c r="E682" s="2">
        <v>7359</v>
      </c>
      <c r="F682" s="3">
        <v>95.8</v>
      </c>
      <c r="G682" s="3">
        <f t="shared" si="10"/>
        <v>704992.2</v>
      </c>
    </row>
    <row r="683" spans="1:7" x14ac:dyDescent="0.25">
      <c r="A683" t="s">
        <v>874</v>
      </c>
      <c r="B683" t="s">
        <v>393</v>
      </c>
      <c r="C683" t="s">
        <v>406</v>
      </c>
      <c r="D683" s="1">
        <v>43837</v>
      </c>
      <c r="E683" s="2">
        <v>7818</v>
      </c>
      <c r="F683" s="3">
        <v>331.38</v>
      </c>
      <c r="G683" s="3">
        <f t="shared" si="10"/>
        <v>2590728.84</v>
      </c>
    </row>
    <row r="684" spans="1:7" x14ac:dyDescent="0.25">
      <c r="A684" t="s">
        <v>223</v>
      </c>
      <c r="B684" t="s">
        <v>397</v>
      </c>
      <c r="C684" t="s">
        <v>412</v>
      </c>
      <c r="D684" s="1">
        <v>43878</v>
      </c>
      <c r="E684" s="2">
        <v>5338</v>
      </c>
      <c r="F684" s="3">
        <v>375.25</v>
      </c>
      <c r="G684" s="3">
        <f t="shared" si="10"/>
        <v>2003084.5</v>
      </c>
    </row>
    <row r="685" spans="1:7" x14ac:dyDescent="0.25">
      <c r="A685" t="s">
        <v>322</v>
      </c>
      <c r="B685" t="s">
        <v>394</v>
      </c>
      <c r="C685" t="s">
        <v>406</v>
      </c>
      <c r="D685" s="1">
        <v>43882</v>
      </c>
      <c r="E685" s="2">
        <v>2252</v>
      </c>
      <c r="F685" s="3">
        <v>132.01</v>
      </c>
      <c r="G685" s="3">
        <f t="shared" si="10"/>
        <v>297286.51999999996</v>
      </c>
    </row>
    <row r="686" spans="1:7" x14ac:dyDescent="0.25">
      <c r="A686" t="s">
        <v>170</v>
      </c>
      <c r="B686" t="s">
        <v>398</v>
      </c>
      <c r="C686" t="s">
        <v>406</v>
      </c>
      <c r="D686" s="1">
        <v>43839</v>
      </c>
      <c r="E686" s="2">
        <v>2759</v>
      </c>
      <c r="F686" s="3">
        <v>99.23</v>
      </c>
      <c r="G686" s="3">
        <f t="shared" si="10"/>
        <v>273775.57</v>
      </c>
    </row>
    <row r="687" spans="1:7" x14ac:dyDescent="0.25">
      <c r="A687" t="s">
        <v>72</v>
      </c>
      <c r="B687" t="s">
        <v>397</v>
      </c>
      <c r="C687" t="s">
        <v>413</v>
      </c>
      <c r="D687" s="1">
        <v>43873</v>
      </c>
      <c r="E687" s="2">
        <v>5085</v>
      </c>
      <c r="F687" s="10">
        <v>153.41999999999999</v>
      </c>
      <c r="G687" s="10">
        <f t="shared" si="10"/>
        <v>780140.7</v>
      </c>
    </row>
    <row r="688" spans="1:7" x14ac:dyDescent="0.25">
      <c r="A688" t="s">
        <v>875</v>
      </c>
      <c r="B688" t="s">
        <v>397</v>
      </c>
      <c r="C688" t="s">
        <v>411</v>
      </c>
      <c r="D688" s="1">
        <v>43851</v>
      </c>
      <c r="E688" s="2">
        <v>6332</v>
      </c>
      <c r="F688" s="3">
        <v>376.98</v>
      </c>
      <c r="G688" s="3">
        <f t="shared" si="10"/>
        <v>2387037.3600000003</v>
      </c>
    </row>
    <row r="689" spans="1:7" x14ac:dyDescent="0.25">
      <c r="A689" t="s">
        <v>276</v>
      </c>
      <c r="B689" t="s">
        <v>394</v>
      </c>
      <c r="C689" t="s">
        <v>406</v>
      </c>
      <c r="D689" s="1">
        <v>43844</v>
      </c>
      <c r="E689" s="2">
        <v>9855</v>
      </c>
      <c r="F689" s="3">
        <v>61.22</v>
      </c>
      <c r="G689" s="3">
        <f t="shared" si="10"/>
        <v>603323.1</v>
      </c>
    </row>
    <row r="690" spans="1:7" x14ac:dyDescent="0.25">
      <c r="A690" t="s">
        <v>36</v>
      </c>
      <c r="B690" t="s">
        <v>398</v>
      </c>
      <c r="C690" t="s">
        <v>411</v>
      </c>
      <c r="D690" s="1">
        <v>43841</v>
      </c>
      <c r="E690" s="2">
        <v>7720</v>
      </c>
      <c r="F690" s="3">
        <v>121.14</v>
      </c>
      <c r="G690" s="3">
        <f t="shared" si="10"/>
        <v>935200.8</v>
      </c>
    </row>
    <row r="691" spans="1:7" x14ac:dyDescent="0.25">
      <c r="A691" t="s">
        <v>13</v>
      </c>
      <c r="B691" t="s">
        <v>393</v>
      </c>
      <c r="C691" t="s">
        <v>407</v>
      </c>
      <c r="D691" s="1">
        <v>43883</v>
      </c>
      <c r="E691" s="2">
        <v>9470</v>
      </c>
      <c r="F691" s="3">
        <v>295.26</v>
      </c>
      <c r="G691" s="3">
        <f t="shared" si="10"/>
        <v>2796112.1999999997</v>
      </c>
    </row>
    <row r="692" spans="1:7" x14ac:dyDescent="0.25">
      <c r="A692" t="s">
        <v>876</v>
      </c>
      <c r="B692" t="s">
        <v>400</v>
      </c>
      <c r="C692" t="s">
        <v>407</v>
      </c>
      <c r="D692" s="1">
        <v>43840</v>
      </c>
      <c r="E692" s="2">
        <v>6780</v>
      </c>
      <c r="F692" s="3">
        <v>361.97</v>
      </c>
      <c r="G692" s="3">
        <f t="shared" si="10"/>
        <v>2454156.6</v>
      </c>
    </row>
    <row r="693" spans="1:7" x14ac:dyDescent="0.25">
      <c r="A693" t="s">
        <v>64</v>
      </c>
      <c r="B693" t="s">
        <v>393</v>
      </c>
      <c r="C693" t="s">
        <v>406</v>
      </c>
      <c r="D693" s="1">
        <v>43879</v>
      </c>
      <c r="E693" s="2">
        <v>8110</v>
      </c>
      <c r="F693" s="3">
        <v>205.95</v>
      </c>
      <c r="G693" s="3">
        <f t="shared" si="10"/>
        <v>1670254.5</v>
      </c>
    </row>
    <row r="694" spans="1:7" x14ac:dyDescent="0.25">
      <c r="A694" t="s">
        <v>877</v>
      </c>
      <c r="B694" t="s">
        <v>394</v>
      </c>
      <c r="C694" t="s">
        <v>406</v>
      </c>
      <c r="D694" s="1">
        <v>43890</v>
      </c>
      <c r="E694" s="2">
        <v>8125</v>
      </c>
      <c r="F694" s="3">
        <v>440.68</v>
      </c>
      <c r="G694" s="3">
        <f t="shared" si="10"/>
        <v>3580525</v>
      </c>
    </row>
    <row r="695" spans="1:7" x14ac:dyDescent="0.25">
      <c r="A695" t="s">
        <v>158</v>
      </c>
      <c r="B695" t="s">
        <v>396</v>
      </c>
      <c r="C695" t="s">
        <v>410</v>
      </c>
      <c r="D695" s="1">
        <v>43847</v>
      </c>
      <c r="E695" s="2">
        <v>1853</v>
      </c>
      <c r="F695" s="3">
        <v>111.48</v>
      </c>
      <c r="G695" s="3">
        <f t="shared" si="10"/>
        <v>206572.44</v>
      </c>
    </row>
    <row r="696" spans="1:7" x14ac:dyDescent="0.25">
      <c r="A696" t="s">
        <v>878</v>
      </c>
      <c r="B696" t="s">
        <v>394</v>
      </c>
      <c r="C696" t="s">
        <v>463</v>
      </c>
      <c r="D696" s="1">
        <v>43862</v>
      </c>
      <c r="E696" s="2">
        <v>228</v>
      </c>
      <c r="F696" s="3">
        <v>495.5</v>
      </c>
      <c r="G696" s="3">
        <f t="shared" si="10"/>
        <v>112974</v>
      </c>
    </row>
    <row r="697" spans="1:7" x14ac:dyDescent="0.25">
      <c r="A697" t="s">
        <v>264</v>
      </c>
      <c r="B697" t="s">
        <v>393</v>
      </c>
      <c r="C697" t="s">
        <v>411</v>
      </c>
      <c r="D697" s="1">
        <v>43862</v>
      </c>
      <c r="E697" s="2">
        <v>2335</v>
      </c>
      <c r="F697" s="3">
        <v>290.98</v>
      </c>
      <c r="G697" s="3">
        <f t="shared" si="10"/>
        <v>679438.3</v>
      </c>
    </row>
    <row r="698" spans="1:7" x14ac:dyDescent="0.25">
      <c r="A698" t="s">
        <v>879</v>
      </c>
      <c r="B698" t="s">
        <v>397</v>
      </c>
      <c r="C698" t="s">
        <v>410</v>
      </c>
      <c r="D698" s="1">
        <v>43833</v>
      </c>
      <c r="E698" s="2">
        <v>1675</v>
      </c>
      <c r="F698" s="3">
        <v>191.33</v>
      </c>
      <c r="G698" s="3">
        <f t="shared" si="10"/>
        <v>320477.75</v>
      </c>
    </row>
    <row r="699" spans="1:7" x14ac:dyDescent="0.25">
      <c r="A699" t="s">
        <v>880</v>
      </c>
      <c r="B699" t="s">
        <v>399</v>
      </c>
      <c r="C699" t="s">
        <v>412</v>
      </c>
      <c r="D699" s="1">
        <v>43862</v>
      </c>
      <c r="E699" s="2">
        <v>4111</v>
      </c>
      <c r="F699" s="3">
        <v>86.82</v>
      </c>
      <c r="G699" s="3">
        <f t="shared" si="10"/>
        <v>356917.01999999996</v>
      </c>
    </row>
    <row r="700" spans="1:7" x14ac:dyDescent="0.25">
      <c r="A700" t="s">
        <v>227</v>
      </c>
      <c r="B700" t="s">
        <v>394</v>
      </c>
      <c r="C700" t="s">
        <v>411</v>
      </c>
      <c r="D700" s="1">
        <v>43872</v>
      </c>
      <c r="E700" s="2">
        <v>8282</v>
      </c>
      <c r="F700" s="3">
        <v>128.80000000000001</v>
      </c>
      <c r="G700" s="3">
        <f t="shared" si="10"/>
        <v>1066721.6000000001</v>
      </c>
    </row>
    <row r="701" spans="1:7" x14ac:dyDescent="0.25">
      <c r="A701" t="s">
        <v>881</v>
      </c>
      <c r="B701" t="s">
        <v>395</v>
      </c>
      <c r="C701" t="s">
        <v>407</v>
      </c>
      <c r="D701" s="1">
        <v>43860</v>
      </c>
      <c r="E701" s="2">
        <v>3710</v>
      </c>
      <c r="F701" s="3">
        <v>225.26</v>
      </c>
      <c r="G701" s="3">
        <f t="shared" si="10"/>
        <v>835714.6</v>
      </c>
    </row>
    <row r="702" spans="1:7" x14ac:dyDescent="0.25">
      <c r="A702" t="s">
        <v>226</v>
      </c>
      <c r="B702" t="s">
        <v>399</v>
      </c>
      <c r="C702" t="s">
        <v>401</v>
      </c>
      <c r="D702" s="1">
        <v>43841</v>
      </c>
      <c r="E702" s="2">
        <v>5842</v>
      </c>
      <c r="F702" s="3">
        <v>234.98</v>
      </c>
      <c r="G702" s="3">
        <f t="shared" si="10"/>
        <v>1372753.16</v>
      </c>
    </row>
    <row r="703" spans="1:7" x14ac:dyDescent="0.25">
      <c r="A703" t="s">
        <v>74</v>
      </c>
      <c r="B703" t="s">
        <v>394</v>
      </c>
      <c r="C703" t="s">
        <v>407</v>
      </c>
      <c r="D703" s="1">
        <v>43889</v>
      </c>
      <c r="E703" s="2">
        <v>843</v>
      </c>
      <c r="F703" s="3">
        <v>263.66000000000003</v>
      </c>
      <c r="G703" s="3">
        <f t="shared" si="10"/>
        <v>222265.38000000003</v>
      </c>
    </row>
    <row r="704" spans="1:7" x14ac:dyDescent="0.25">
      <c r="A704" t="s">
        <v>882</v>
      </c>
      <c r="B704" t="s">
        <v>400</v>
      </c>
      <c r="C704" t="s">
        <v>463</v>
      </c>
      <c r="D704" s="1">
        <v>43842</v>
      </c>
      <c r="E704" s="2">
        <v>7593</v>
      </c>
      <c r="F704" s="3">
        <v>325.60000000000002</v>
      </c>
      <c r="G704" s="3">
        <f t="shared" si="10"/>
        <v>2472280.8000000003</v>
      </c>
    </row>
    <row r="705" spans="1:7" x14ac:dyDescent="0.25">
      <c r="A705" t="s">
        <v>883</v>
      </c>
      <c r="B705" t="s">
        <v>394</v>
      </c>
      <c r="C705" t="s">
        <v>463</v>
      </c>
      <c r="D705" s="1">
        <v>43834</v>
      </c>
      <c r="E705" s="2">
        <v>1442</v>
      </c>
      <c r="F705" s="3">
        <v>200.12</v>
      </c>
      <c r="G705" s="3">
        <f t="shared" si="10"/>
        <v>288573.03999999998</v>
      </c>
    </row>
    <row r="706" spans="1:7" x14ac:dyDescent="0.25">
      <c r="A706" t="s">
        <v>208</v>
      </c>
      <c r="B706" t="s">
        <v>396</v>
      </c>
      <c r="C706" t="s">
        <v>411</v>
      </c>
      <c r="D706" s="1">
        <v>43864</v>
      </c>
      <c r="E706" s="2">
        <v>8897</v>
      </c>
      <c r="F706" s="3">
        <v>293.33</v>
      </c>
      <c r="G706" s="3">
        <f t="shared" si="10"/>
        <v>2609757.0099999998</v>
      </c>
    </row>
    <row r="707" spans="1:7" x14ac:dyDescent="0.25">
      <c r="A707" t="s">
        <v>61</v>
      </c>
      <c r="B707" t="s">
        <v>393</v>
      </c>
      <c r="C707" t="s">
        <v>410</v>
      </c>
      <c r="D707" s="1">
        <v>43877</v>
      </c>
      <c r="E707" s="2">
        <v>4885</v>
      </c>
      <c r="F707" s="3">
        <v>273.91000000000003</v>
      </c>
      <c r="G707" s="3">
        <f t="shared" ref="G707:G770" si="11">E707*F707</f>
        <v>1338050.3500000001</v>
      </c>
    </row>
    <row r="708" spans="1:7" x14ac:dyDescent="0.25">
      <c r="A708" t="s">
        <v>299</v>
      </c>
      <c r="B708" t="s">
        <v>393</v>
      </c>
      <c r="C708" t="s">
        <v>413</v>
      </c>
      <c r="D708" s="1">
        <v>43850</v>
      </c>
      <c r="E708" s="2">
        <v>5294</v>
      </c>
      <c r="F708" s="10">
        <v>468.67</v>
      </c>
      <c r="G708" s="10">
        <f t="shared" si="11"/>
        <v>2481138.98</v>
      </c>
    </row>
    <row r="709" spans="1:7" x14ac:dyDescent="0.25">
      <c r="A709" t="s">
        <v>884</v>
      </c>
      <c r="B709" t="s">
        <v>400</v>
      </c>
      <c r="C709" t="s">
        <v>406</v>
      </c>
      <c r="D709" s="1">
        <v>43843</v>
      </c>
      <c r="E709" s="2">
        <v>2725</v>
      </c>
      <c r="F709" s="3">
        <v>476.44</v>
      </c>
      <c r="G709" s="3">
        <f t="shared" si="11"/>
        <v>1298299</v>
      </c>
    </row>
    <row r="710" spans="1:7" x14ac:dyDescent="0.25">
      <c r="A710" t="s">
        <v>885</v>
      </c>
      <c r="B710" t="s">
        <v>393</v>
      </c>
      <c r="C710" t="s">
        <v>401</v>
      </c>
      <c r="D710" s="1">
        <v>43883</v>
      </c>
      <c r="E710" s="2">
        <v>6758</v>
      </c>
      <c r="F710" s="3">
        <v>226.92</v>
      </c>
      <c r="G710" s="3">
        <f t="shared" si="11"/>
        <v>1533525.3599999999</v>
      </c>
    </row>
    <row r="711" spans="1:7" x14ac:dyDescent="0.25">
      <c r="A711" t="s">
        <v>192</v>
      </c>
      <c r="B711" t="s">
        <v>397</v>
      </c>
      <c r="C711" t="s">
        <v>412</v>
      </c>
      <c r="D711" s="1">
        <v>43852</v>
      </c>
      <c r="E711" s="2">
        <v>1525</v>
      </c>
      <c r="F711" s="3">
        <v>125.39</v>
      </c>
      <c r="G711" s="3">
        <f t="shared" si="11"/>
        <v>191219.75</v>
      </c>
    </row>
    <row r="712" spans="1:7" x14ac:dyDescent="0.25">
      <c r="A712" t="s">
        <v>886</v>
      </c>
      <c r="B712" t="s">
        <v>393</v>
      </c>
      <c r="C712" t="s">
        <v>408</v>
      </c>
      <c r="D712" s="1">
        <v>43884</v>
      </c>
      <c r="E712" s="2">
        <v>3262</v>
      </c>
      <c r="F712" s="3">
        <v>391.49</v>
      </c>
      <c r="G712" s="3">
        <f t="shared" si="11"/>
        <v>1277040.3800000001</v>
      </c>
    </row>
    <row r="713" spans="1:7" x14ac:dyDescent="0.25">
      <c r="A713" t="s">
        <v>887</v>
      </c>
      <c r="B713" t="s">
        <v>399</v>
      </c>
      <c r="C713" t="s">
        <v>412</v>
      </c>
      <c r="D713" s="1">
        <v>43842</v>
      </c>
      <c r="E713" s="2">
        <v>781</v>
      </c>
      <c r="F713" s="3">
        <v>67.05</v>
      </c>
      <c r="G713" s="3">
        <f t="shared" si="11"/>
        <v>52366.049999999996</v>
      </c>
    </row>
    <row r="714" spans="1:7" x14ac:dyDescent="0.25">
      <c r="A714" t="s">
        <v>888</v>
      </c>
      <c r="B714" t="s">
        <v>397</v>
      </c>
      <c r="C714" t="s">
        <v>408</v>
      </c>
      <c r="D714" s="1">
        <v>43859</v>
      </c>
      <c r="E714" s="2">
        <v>2844</v>
      </c>
      <c r="F714" s="3">
        <v>429.84</v>
      </c>
      <c r="G714" s="3">
        <f t="shared" si="11"/>
        <v>1222464.96</v>
      </c>
    </row>
    <row r="715" spans="1:7" x14ac:dyDescent="0.25">
      <c r="A715" t="s">
        <v>889</v>
      </c>
      <c r="B715" t="s">
        <v>395</v>
      </c>
      <c r="C715" t="s">
        <v>411</v>
      </c>
      <c r="D715" s="1">
        <v>43874</v>
      </c>
      <c r="E715" s="2">
        <v>2637</v>
      </c>
      <c r="F715" s="3">
        <v>149.99</v>
      </c>
      <c r="G715" s="3">
        <f t="shared" si="11"/>
        <v>395523.63</v>
      </c>
    </row>
    <row r="716" spans="1:7" x14ac:dyDescent="0.25">
      <c r="A716" t="s">
        <v>140</v>
      </c>
      <c r="B716" t="s">
        <v>397</v>
      </c>
      <c r="C716" t="s">
        <v>463</v>
      </c>
      <c r="D716" s="1">
        <v>43881</v>
      </c>
      <c r="E716" s="2">
        <v>5451</v>
      </c>
      <c r="F716" s="3">
        <v>437.85</v>
      </c>
      <c r="G716" s="3">
        <f t="shared" si="11"/>
        <v>2386720.35</v>
      </c>
    </row>
    <row r="717" spans="1:7" x14ac:dyDescent="0.25">
      <c r="A717" t="s">
        <v>890</v>
      </c>
      <c r="B717" t="s">
        <v>399</v>
      </c>
      <c r="C717" t="s">
        <v>463</v>
      </c>
      <c r="D717" s="1">
        <v>43887</v>
      </c>
      <c r="E717" s="2">
        <v>1716</v>
      </c>
      <c r="F717" s="3">
        <v>311.45</v>
      </c>
      <c r="G717" s="3">
        <f t="shared" si="11"/>
        <v>534448.19999999995</v>
      </c>
    </row>
    <row r="718" spans="1:7" x14ac:dyDescent="0.25">
      <c r="A718" t="s">
        <v>891</v>
      </c>
      <c r="B718" t="s">
        <v>395</v>
      </c>
      <c r="C718" t="s">
        <v>410</v>
      </c>
      <c r="D718" s="1">
        <v>43879</v>
      </c>
      <c r="E718" s="2">
        <v>8934</v>
      </c>
      <c r="F718" s="3">
        <v>393.5</v>
      </c>
      <c r="G718" s="3">
        <f t="shared" si="11"/>
        <v>3515529</v>
      </c>
    </row>
    <row r="719" spans="1:7" x14ac:dyDescent="0.25">
      <c r="A719" t="s">
        <v>892</v>
      </c>
      <c r="B719" t="s">
        <v>400</v>
      </c>
      <c r="C719" t="s">
        <v>463</v>
      </c>
      <c r="D719" s="1">
        <v>43853</v>
      </c>
      <c r="E719" s="2">
        <v>4691</v>
      </c>
      <c r="F719" s="3">
        <v>60.07</v>
      </c>
      <c r="G719" s="3">
        <f t="shared" si="11"/>
        <v>281788.37</v>
      </c>
    </row>
    <row r="720" spans="1:7" x14ac:dyDescent="0.25">
      <c r="A720" t="s">
        <v>893</v>
      </c>
      <c r="B720" t="s">
        <v>395</v>
      </c>
      <c r="C720" t="s">
        <v>401</v>
      </c>
      <c r="D720" s="1">
        <v>43878</v>
      </c>
      <c r="E720" s="2">
        <v>3151</v>
      </c>
      <c r="F720" s="3">
        <v>77.069999999999993</v>
      </c>
      <c r="G720" s="3">
        <f t="shared" si="11"/>
        <v>242847.56999999998</v>
      </c>
    </row>
    <row r="721" spans="1:7" x14ac:dyDescent="0.25">
      <c r="A721" t="s">
        <v>894</v>
      </c>
      <c r="B721" t="s">
        <v>394</v>
      </c>
      <c r="C721" t="s">
        <v>412</v>
      </c>
      <c r="D721" s="1">
        <v>43861</v>
      </c>
      <c r="E721" s="2">
        <v>5202</v>
      </c>
      <c r="F721" s="3">
        <v>417.12</v>
      </c>
      <c r="G721" s="3">
        <f t="shared" si="11"/>
        <v>2169858.2400000002</v>
      </c>
    </row>
    <row r="722" spans="1:7" x14ac:dyDescent="0.25">
      <c r="A722" t="s">
        <v>86</v>
      </c>
      <c r="B722" t="s">
        <v>399</v>
      </c>
      <c r="C722" t="s">
        <v>410</v>
      </c>
      <c r="D722" s="1">
        <v>43883</v>
      </c>
      <c r="E722" s="2">
        <v>3129</v>
      </c>
      <c r="F722" s="3">
        <v>412.96</v>
      </c>
      <c r="G722" s="3">
        <f t="shared" si="11"/>
        <v>1292151.8399999999</v>
      </c>
    </row>
    <row r="723" spans="1:7" x14ac:dyDescent="0.25">
      <c r="A723" t="s">
        <v>895</v>
      </c>
      <c r="B723" t="s">
        <v>397</v>
      </c>
      <c r="C723" t="s">
        <v>412</v>
      </c>
      <c r="D723" s="1">
        <v>43847</v>
      </c>
      <c r="E723" s="2">
        <v>1742</v>
      </c>
      <c r="F723" s="3">
        <v>348.08</v>
      </c>
      <c r="G723" s="3">
        <f t="shared" si="11"/>
        <v>606355.36</v>
      </c>
    </row>
    <row r="724" spans="1:7" x14ac:dyDescent="0.25">
      <c r="A724" t="s">
        <v>896</v>
      </c>
      <c r="B724" t="s">
        <v>395</v>
      </c>
      <c r="C724" t="s">
        <v>406</v>
      </c>
      <c r="D724" s="1">
        <v>43854</v>
      </c>
      <c r="E724" s="2">
        <v>7895</v>
      </c>
      <c r="F724" s="3">
        <v>480.31</v>
      </c>
      <c r="G724" s="3">
        <f t="shared" si="11"/>
        <v>3792047.45</v>
      </c>
    </row>
    <row r="725" spans="1:7" x14ac:dyDescent="0.25">
      <c r="A725" t="s">
        <v>897</v>
      </c>
      <c r="B725" t="s">
        <v>399</v>
      </c>
      <c r="C725" t="s">
        <v>408</v>
      </c>
      <c r="D725" s="1">
        <v>43887</v>
      </c>
      <c r="E725" s="2">
        <v>255</v>
      </c>
      <c r="F725" s="3">
        <v>168.82</v>
      </c>
      <c r="G725" s="3">
        <f t="shared" si="11"/>
        <v>43049.1</v>
      </c>
    </row>
    <row r="726" spans="1:7" x14ac:dyDescent="0.25">
      <c r="A726" t="s">
        <v>233</v>
      </c>
      <c r="B726" t="s">
        <v>398</v>
      </c>
      <c r="C726" t="s">
        <v>463</v>
      </c>
      <c r="D726" s="1">
        <v>43837</v>
      </c>
      <c r="E726" s="2">
        <v>1050</v>
      </c>
      <c r="F726" s="3">
        <v>265.51</v>
      </c>
      <c r="G726" s="3">
        <f t="shared" si="11"/>
        <v>278785.5</v>
      </c>
    </row>
    <row r="727" spans="1:7" x14ac:dyDescent="0.25">
      <c r="A727" t="s">
        <v>184</v>
      </c>
      <c r="B727" t="s">
        <v>396</v>
      </c>
      <c r="C727" t="s">
        <v>401</v>
      </c>
      <c r="D727" s="1">
        <v>43836</v>
      </c>
      <c r="E727" s="2">
        <v>2994</v>
      </c>
      <c r="F727" s="3">
        <v>445.55</v>
      </c>
      <c r="G727" s="3">
        <f t="shared" si="11"/>
        <v>1333976.7</v>
      </c>
    </row>
    <row r="728" spans="1:7" x14ac:dyDescent="0.25">
      <c r="A728" t="s">
        <v>163</v>
      </c>
      <c r="B728" t="s">
        <v>395</v>
      </c>
      <c r="C728" t="s">
        <v>411</v>
      </c>
      <c r="D728" s="1">
        <v>43890</v>
      </c>
      <c r="E728" s="2">
        <v>6338</v>
      </c>
      <c r="F728" s="3">
        <v>312.24</v>
      </c>
      <c r="G728" s="3">
        <f t="shared" si="11"/>
        <v>1978977.12</v>
      </c>
    </row>
    <row r="729" spans="1:7" x14ac:dyDescent="0.25">
      <c r="A729" t="s">
        <v>898</v>
      </c>
      <c r="B729" t="s">
        <v>394</v>
      </c>
      <c r="C729" t="s">
        <v>463</v>
      </c>
      <c r="D729" s="1">
        <v>43860</v>
      </c>
      <c r="E729" s="2">
        <v>6825</v>
      </c>
      <c r="F729" s="3">
        <v>484.91</v>
      </c>
      <c r="G729" s="3">
        <f t="shared" si="11"/>
        <v>3309510.75</v>
      </c>
    </row>
    <row r="730" spans="1:7" x14ac:dyDescent="0.25">
      <c r="A730" t="s">
        <v>278</v>
      </c>
      <c r="B730" t="s">
        <v>395</v>
      </c>
      <c r="C730" t="s">
        <v>407</v>
      </c>
      <c r="D730" s="1">
        <v>43851</v>
      </c>
      <c r="E730" s="2">
        <v>3189</v>
      </c>
      <c r="F730" s="3">
        <v>69.66</v>
      </c>
      <c r="G730" s="3">
        <f t="shared" si="11"/>
        <v>222145.74</v>
      </c>
    </row>
    <row r="731" spans="1:7" x14ac:dyDescent="0.25">
      <c r="A731" t="s">
        <v>899</v>
      </c>
      <c r="B731" t="s">
        <v>398</v>
      </c>
      <c r="C731" t="s">
        <v>408</v>
      </c>
      <c r="D731" s="1">
        <v>43849</v>
      </c>
      <c r="E731" s="2">
        <v>8315</v>
      </c>
      <c r="F731" s="3">
        <v>207.08</v>
      </c>
      <c r="G731" s="3">
        <f t="shared" si="11"/>
        <v>1721870.2000000002</v>
      </c>
    </row>
    <row r="732" spans="1:7" x14ac:dyDescent="0.25">
      <c r="A732" t="s">
        <v>900</v>
      </c>
      <c r="B732" t="s">
        <v>394</v>
      </c>
      <c r="C732" t="s">
        <v>413</v>
      </c>
      <c r="D732" s="1">
        <v>43887</v>
      </c>
      <c r="E732" s="2">
        <v>1447</v>
      </c>
      <c r="F732" s="10">
        <v>441.83</v>
      </c>
      <c r="G732" s="10">
        <f t="shared" si="11"/>
        <v>639328.01</v>
      </c>
    </row>
    <row r="733" spans="1:7" x14ac:dyDescent="0.25">
      <c r="A733" t="s">
        <v>326</v>
      </c>
      <c r="B733" t="s">
        <v>396</v>
      </c>
      <c r="C733" t="s">
        <v>413</v>
      </c>
      <c r="D733" s="1">
        <v>43835</v>
      </c>
      <c r="E733" s="2">
        <v>5748</v>
      </c>
      <c r="F733" s="10">
        <v>354.12</v>
      </c>
      <c r="G733" s="10">
        <f t="shared" si="11"/>
        <v>2035481.76</v>
      </c>
    </row>
    <row r="734" spans="1:7" x14ac:dyDescent="0.25">
      <c r="A734" t="s">
        <v>329</v>
      </c>
      <c r="B734" t="s">
        <v>397</v>
      </c>
      <c r="C734" t="s">
        <v>407</v>
      </c>
      <c r="D734" s="1">
        <v>43881</v>
      </c>
      <c r="E734" s="2">
        <v>296</v>
      </c>
      <c r="F734" s="3">
        <v>213.79</v>
      </c>
      <c r="G734" s="3">
        <f t="shared" si="11"/>
        <v>63281.84</v>
      </c>
    </row>
    <row r="735" spans="1:7" x14ac:dyDescent="0.25">
      <c r="A735" t="s">
        <v>23</v>
      </c>
      <c r="B735" t="s">
        <v>398</v>
      </c>
      <c r="C735" t="s">
        <v>413</v>
      </c>
      <c r="D735" s="1">
        <v>43873</v>
      </c>
      <c r="E735" s="2">
        <v>7126</v>
      </c>
      <c r="F735" s="10">
        <v>373.26</v>
      </c>
      <c r="G735" s="10">
        <f t="shared" si="11"/>
        <v>2659850.7599999998</v>
      </c>
    </row>
    <row r="736" spans="1:7" x14ac:dyDescent="0.25">
      <c r="A736" t="s">
        <v>901</v>
      </c>
      <c r="B736" t="s">
        <v>396</v>
      </c>
      <c r="C736" t="s">
        <v>413</v>
      </c>
      <c r="D736" s="1">
        <v>43868</v>
      </c>
      <c r="E736" s="2">
        <v>5517</v>
      </c>
      <c r="F736" s="10">
        <v>119.63</v>
      </c>
      <c r="G736" s="10">
        <f t="shared" si="11"/>
        <v>659998.71</v>
      </c>
    </row>
    <row r="737" spans="1:7" x14ac:dyDescent="0.25">
      <c r="A737" t="s">
        <v>902</v>
      </c>
      <c r="B737" t="s">
        <v>397</v>
      </c>
      <c r="C737" t="s">
        <v>408</v>
      </c>
      <c r="D737" s="1">
        <v>43832</v>
      </c>
      <c r="E737" s="2">
        <v>8383</v>
      </c>
      <c r="F737" s="3">
        <v>471.94</v>
      </c>
      <c r="G737" s="3">
        <f t="shared" si="11"/>
        <v>3956273.02</v>
      </c>
    </row>
    <row r="738" spans="1:7" x14ac:dyDescent="0.25">
      <c r="A738" t="s">
        <v>349</v>
      </c>
      <c r="B738" t="s">
        <v>395</v>
      </c>
      <c r="C738" t="s">
        <v>408</v>
      </c>
      <c r="D738" s="1">
        <v>43889</v>
      </c>
      <c r="E738" s="2">
        <v>9955</v>
      </c>
      <c r="F738" s="3">
        <v>94.48</v>
      </c>
      <c r="G738" s="3">
        <f t="shared" si="11"/>
        <v>940548.4</v>
      </c>
    </row>
    <row r="739" spans="1:7" x14ac:dyDescent="0.25">
      <c r="A739" t="s">
        <v>903</v>
      </c>
      <c r="B739" t="s">
        <v>394</v>
      </c>
      <c r="C739" t="s">
        <v>407</v>
      </c>
      <c r="D739" s="1">
        <v>43879</v>
      </c>
      <c r="E739" s="2">
        <v>2292</v>
      </c>
      <c r="F739" s="3">
        <v>110.32</v>
      </c>
      <c r="G739" s="3">
        <f t="shared" si="11"/>
        <v>252853.43999999997</v>
      </c>
    </row>
    <row r="740" spans="1:7" x14ac:dyDescent="0.25">
      <c r="A740" t="s">
        <v>904</v>
      </c>
      <c r="B740" t="s">
        <v>400</v>
      </c>
      <c r="C740" t="s">
        <v>410</v>
      </c>
      <c r="D740" s="1">
        <v>43859</v>
      </c>
      <c r="E740" s="2">
        <v>5090</v>
      </c>
      <c r="F740" s="3">
        <v>379.84</v>
      </c>
      <c r="G740" s="3">
        <f t="shared" si="11"/>
        <v>1933385.5999999999</v>
      </c>
    </row>
    <row r="741" spans="1:7" x14ac:dyDescent="0.25">
      <c r="A741" t="s">
        <v>63</v>
      </c>
      <c r="B741" t="s">
        <v>399</v>
      </c>
      <c r="C741" t="s">
        <v>406</v>
      </c>
      <c r="D741" s="1">
        <v>43862</v>
      </c>
      <c r="E741" s="2">
        <v>6654</v>
      </c>
      <c r="F741" s="3">
        <v>391.06</v>
      </c>
      <c r="G741" s="3">
        <f t="shared" si="11"/>
        <v>2602113.2400000002</v>
      </c>
    </row>
    <row r="742" spans="1:7" x14ac:dyDescent="0.25">
      <c r="A742" t="s">
        <v>905</v>
      </c>
      <c r="B742" t="s">
        <v>397</v>
      </c>
      <c r="C742" t="s">
        <v>413</v>
      </c>
      <c r="D742" s="1">
        <v>43871</v>
      </c>
      <c r="E742" s="2">
        <v>9221</v>
      </c>
      <c r="F742" s="10">
        <v>155.46</v>
      </c>
      <c r="G742" s="10">
        <f t="shared" si="11"/>
        <v>1433496.6600000001</v>
      </c>
    </row>
    <row r="743" spans="1:7" x14ac:dyDescent="0.25">
      <c r="A743" t="s">
        <v>906</v>
      </c>
      <c r="B743" t="s">
        <v>397</v>
      </c>
      <c r="C743" t="s">
        <v>413</v>
      </c>
      <c r="D743" s="1">
        <v>43882</v>
      </c>
      <c r="E743" s="2">
        <v>1819</v>
      </c>
      <c r="F743" s="10">
        <v>132.33000000000001</v>
      </c>
      <c r="G743" s="10">
        <f t="shared" si="11"/>
        <v>240708.27000000002</v>
      </c>
    </row>
    <row r="744" spans="1:7" x14ac:dyDescent="0.25">
      <c r="A744" t="s">
        <v>907</v>
      </c>
      <c r="B744" t="s">
        <v>400</v>
      </c>
      <c r="C744" t="s">
        <v>401</v>
      </c>
      <c r="D744" s="1">
        <v>43880</v>
      </c>
      <c r="E744" s="2">
        <v>2142</v>
      </c>
      <c r="F744" s="3">
        <v>345.05</v>
      </c>
      <c r="G744" s="3">
        <f t="shared" si="11"/>
        <v>739097.1</v>
      </c>
    </row>
    <row r="745" spans="1:7" x14ac:dyDescent="0.25">
      <c r="A745" t="s">
        <v>908</v>
      </c>
      <c r="B745" t="s">
        <v>393</v>
      </c>
      <c r="C745" t="s">
        <v>413</v>
      </c>
      <c r="D745" s="1">
        <v>43832</v>
      </c>
      <c r="E745" s="2">
        <v>8334</v>
      </c>
      <c r="F745" s="10">
        <v>406.7</v>
      </c>
      <c r="G745" s="10">
        <f t="shared" si="11"/>
        <v>3389437.8</v>
      </c>
    </row>
    <row r="746" spans="1:7" x14ac:dyDescent="0.25">
      <c r="A746" t="s">
        <v>116</v>
      </c>
      <c r="B746" t="s">
        <v>400</v>
      </c>
      <c r="C746" t="s">
        <v>401</v>
      </c>
      <c r="D746" s="1">
        <v>43871</v>
      </c>
      <c r="E746" s="2">
        <v>5436</v>
      </c>
      <c r="F746" s="3">
        <v>183.56</v>
      </c>
      <c r="G746" s="3">
        <f t="shared" si="11"/>
        <v>997832.16</v>
      </c>
    </row>
    <row r="747" spans="1:7" x14ac:dyDescent="0.25">
      <c r="A747" t="s">
        <v>909</v>
      </c>
      <c r="B747" t="s">
        <v>393</v>
      </c>
      <c r="C747" t="s">
        <v>406</v>
      </c>
      <c r="D747" s="1">
        <v>43864</v>
      </c>
      <c r="E747" s="2">
        <v>3915</v>
      </c>
      <c r="F747" s="3">
        <v>216.43</v>
      </c>
      <c r="G747" s="3">
        <f t="shared" si="11"/>
        <v>847323.45000000007</v>
      </c>
    </row>
    <row r="748" spans="1:7" x14ac:dyDescent="0.25">
      <c r="A748" t="s">
        <v>910</v>
      </c>
      <c r="B748" t="s">
        <v>394</v>
      </c>
      <c r="C748" t="s">
        <v>410</v>
      </c>
      <c r="D748" s="1">
        <v>43860</v>
      </c>
      <c r="E748" s="2">
        <v>7837</v>
      </c>
      <c r="F748" s="3">
        <v>172.14</v>
      </c>
      <c r="G748" s="3">
        <f t="shared" si="11"/>
        <v>1349061.18</v>
      </c>
    </row>
    <row r="749" spans="1:7" x14ac:dyDescent="0.25">
      <c r="A749" t="s">
        <v>386</v>
      </c>
      <c r="B749" t="s">
        <v>396</v>
      </c>
      <c r="C749" t="s">
        <v>412</v>
      </c>
      <c r="D749" s="1">
        <v>43849</v>
      </c>
      <c r="E749" s="2">
        <v>3558</v>
      </c>
      <c r="F749" s="3">
        <v>413.33</v>
      </c>
      <c r="G749" s="3">
        <f t="shared" si="11"/>
        <v>1470628.14</v>
      </c>
    </row>
    <row r="750" spans="1:7" x14ac:dyDescent="0.25">
      <c r="A750" t="s">
        <v>115</v>
      </c>
      <c r="B750" t="s">
        <v>395</v>
      </c>
      <c r="C750" t="s">
        <v>413</v>
      </c>
      <c r="D750" s="1">
        <v>43871</v>
      </c>
      <c r="E750" s="2">
        <v>3802</v>
      </c>
      <c r="F750" s="10">
        <v>492.65</v>
      </c>
      <c r="G750" s="10">
        <f t="shared" si="11"/>
        <v>1873055.2999999998</v>
      </c>
    </row>
    <row r="751" spans="1:7" x14ac:dyDescent="0.25">
      <c r="A751" t="s">
        <v>106</v>
      </c>
      <c r="B751" t="s">
        <v>398</v>
      </c>
      <c r="C751" t="s">
        <v>463</v>
      </c>
      <c r="D751" s="1">
        <v>43842</v>
      </c>
      <c r="E751" s="2">
        <v>1407</v>
      </c>
      <c r="F751" s="3">
        <v>413.2</v>
      </c>
      <c r="G751" s="3">
        <f t="shared" si="11"/>
        <v>581372.4</v>
      </c>
    </row>
    <row r="752" spans="1:7" x14ac:dyDescent="0.25">
      <c r="A752" t="s">
        <v>911</v>
      </c>
      <c r="B752" t="s">
        <v>397</v>
      </c>
      <c r="C752" t="s">
        <v>408</v>
      </c>
      <c r="D752" s="1">
        <v>43879</v>
      </c>
      <c r="E752" s="2">
        <v>9230</v>
      </c>
      <c r="F752" s="3">
        <v>376.54</v>
      </c>
      <c r="G752" s="3">
        <f t="shared" si="11"/>
        <v>3475464.2</v>
      </c>
    </row>
    <row r="753" spans="1:7" x14ac:dyDescent="0.25">
      <c r="A753" t="s">
        <v>912</v>
      </c>
      <c r="B753" t="s">
        <v>399</v>
      </c>
      <c r="C753" t="s">
        <v>410</v>
      </c>
      <c r="D753" s="1">
        <v>43866</v>
      </c>
      <c r="E753" s="2">
        <v>1274</v>
      </c>
      <c r="F753" s="3">
        <v>52.34</v>
      </c>
      <c r="G753" s="3">
        <f t="shared" si="11"/>
        <v>66681.16</v>
      </c>
    </row>
    <row r="754" spans="1:7" x14ac:dyDescent="0.25">
      <c r="A754" t="s">
        <v>913</v>
      </c>
      <c r="B754" t="s">
        <v>393</v>
      </c>
      <c r="C754" t="s">
        <v>408</v>
      </c>
      <c r="D754" s="1">
        <v>43883</v>
      </c>
      <c r="E754" s="2">
        <v>9945</v>
      </c>
      <c r="F754" s="3">
        <v>471.52</v>
      </c>
      <c r="G754" s="3">
        <f t="shared" si="11"/>
        <v>4689266.3999999994</v>
      </c>
    </row>
    <row r="755" spans="1:7" x14ac:dyDescent="0.25">
      <c r="A755" t="s">
        <v>102</v>
      </c>
      <c r="B755" t="s">
        <v>400</v>
      </c>
      <c r="C755" t="s">
        <v>413</v>
      </c>
      <c r="D755" s="1">
        <v>43869</v>
      </c>
      <c r="E755" s="2">
        <v>5969</v>
      </c>
      <c r="F755" s="10">
        <v>364.4</v>
      </c>
      <c r="G755" s="10">
        <f t="shared" si="11"/>
        <v>2175103.6</v>
      </c>
    </row>
    <row r="756" spans="1:7" x14ac:dyDescent="0.25">
      <c r="A756" t="s">
        <v>914</v>
      </c>
      <c r="B756" t="s">
        <v>399</v>
      </c>
      <c r="C756" t="s">
        <v>401</v>
      </c>
      <c r="D756" s="1">
        <v>43859</v>
      </c>
      <c r="E756" s="2">
        <v>9617</v>
      </c>
      <c r="F756" s="3">
        <v>88.31</v>
      </c>
      <c r="G756" s="3">
        <f t="shared" si="11"/>
        <v>849277.27</v>
      </c>
    </row>
    <row r="757" spans="1:7" x14ac:dyDescent="0.25">
      <c r="A757" t="s">
        <v>915</v>
      </c>
      <c r="B757" t="s">
        <v>394</v>
      </c>
      <c r="C757" t="s">
        <v>413</v>
      </c>
      <c r="D757" s="1">
        <v>43838</v>
      </c>
      <c r="E757" s="2">
        <v>9459</v>
      </c>
      <c r="F757" s="10">
        <v>201.84</v>
      </c>
      <c r="G757" s="10">
        <f t="shared" si="11"/>
        <v>1909204.56</v>
      </c>
    </row>
    <row r="758" spans="1:7" x14ac:dyDescent="0.25">
      <c r="A758" t="s">
        <v>916</v>
      </c>
      <c r="B758" t="s">
        <v>393</v>
      </c>
      <c r="C758" t="s">
        <v>410</v>
      </c>
      <c r="D758" s="1">
        <v>43889</v>
      </c>
      <c r="E758" s="2">
        <v>6671</v>
      </c>
      <c r="F758" s="3">
        <v>434.75</v>
      </c>
      <c r="G758" s="3">
        <f t="shared" si="11"/>
        <v>2900217.25</v>
      </c>
    </row>
    <row r="759" spans="1:7" x14ac:dyDescent="0.25">
      <c r="A759" t="s">
        <v>91</v>
      </c>
      <c r="B759" t="s">
        <v>398</v>
      </c>
      <c r="C759" t="s">
        <v>407</v>
      </c>
      <c r="D759" s="1">
        <v>43834</v>
      </c>
      <c r="E759" s="2">
        <v>8655</v>
      </c>
      <c r="F759" s="3">
        <v>247.75</v>
      </c>
      <c r="G759" s="3">
        <f t="shared" si="11"/>
        <v>2144276.25</v>
      </c>
    </row>
    <row r="760" spans="1:7" x14ac:dyDescent="0.25">
      <c r="A760" t="s">
        <v>917</v>
      </c>
      <c r="B760" t="s">
        <v>395</v>
      </c>
      <c r="C760" t="s">
        <v>410</v>
      </c>
      <c r="D760" s="1">
        <v>43869</v>
      </c>
      <c r="E760" s="2">
        <v>5850</v>
      </c>
      <c r="F760" s="3">
        <v>326.41000000000003</v>
      </c>
      <c r="G760" s="3">
        <f t="shared" si="11"/>
        <v>1909498.5000000002</v>
      </c>
    </row>
    <row r="761" spans="1:7" x14ac:dyDescent="0.25">
      <c r="A761" t="s">
        <v>214</v>
      </c>
      <c r="B761" t="s">
        <v>396</v>
      </c>
      <c r="C761" t="s">
        <v>410</v>
      </c>
      <c r="D761" s="1">
        <v>43881</v>
      </c>
      <c r="E761" s="2">
        <v>8098</v>
      </c>
      <c r="F761" s="3">
        <v>397.46</v>
      </c>
      <c r="G761" s="3">
        <f t="shared" si="11"/>
        <v>3218631.0799999996</v>
      </c>
    </row>
    <row r="762" spans="1:7" x14ac:dyDescent="0.25">
      <c r="A762" t="s">
        <v>271</v>
      </c>
      <c r="B762" t="s">
        <v>398</v>
      </c>
      <c r="C762" t="s">
        <v>408</v>
      </c>
      <c r="D762" s="1">
        <v>43841</v>
      </c>
      <c r="E762" s="2">
        <v>7087</v>
      </c>
      <c r="F762" s="3">
        <v>488.53</v>
      </c>
      <c r="G762" s="3">
        <f t="shared" si="11"/>
        <v>3462212.11</v>
      </c>
    </row>
    <row r="763" spans="1:7" x14ac:dyDescent="0.25">
      <c r="A763" t="s">
        <v>918</v>
      </c>
      <c r="B763" t="s">
        <v>394</v>
      </c>
      <c r="C763" t="s">
        <v>401</v>
      </c>
      <c r="D763" s="1">
        <v>43838</v>
      </c>
      <c r="E763" s="2">
        <v>942</v>
      </c>
      <c r="F763" s="3">
        <v>72.319999999999993</v>
      </c>
      <c r="G763" s="3">
        <f t="shared" si="11"/>
        <v>68125.439999999988</v>
      </c>
    </row>
    <row r="764" spans="1:7" x14ac:dyDescent="0.25">
      <c r="A764" t="s">
        <v>274</v>
      </c>
      <c r="B764" t="s">
        <v>394</v>
      </c>
      <c r="C764" t="s">
        <v>463</v>
      </c>
      <c r="D764" s="1">
        <v>43834</v>
      </c>
      <c r="E764" s="2">
        <v>7272</v>
      </c>
      <c r="F764" s="3">
        <v>56.27</v>
      </c>
      <c r="G764" s="3">
        <f t="shared" si="11"/>
        <v>409195.44</v>
      </c>
    </row>
    <row r="765" spans="1:7" x14ac:dyDescent="0.25">
      <c r="A765" t="s">
        <v>919</v>
      </c>
      <c r="B765" t="s">
        <v>398</v>
      </c>
      <c r="C765" t="s">
        <v>401</v>
      </c>
      <c r="D765" s="1">
        <v>43854</v>
      </c>
      <c r="E765" s="2">
        <v>4756</v>
      </c>
      <c r="F765" s="3">
        <v>432.52</v>
      </c>
      <c r="G765" s="3">
        <f t="shared" si="11"/>
        <v>2057065.1199999999</v>
      </c>
    </row>
    <row r="766" spans="1:7" x14ac:dyDescent="0.25">
      <c r="A766" t="s">
        <v>153</v>
      </c>
      <c r="B766" t="s">
        <v>399</v>
      </c>
      <c r="C766" t="s">
        <v>413</v>
      </c>
      <c r="D766" s="1">
        <v>43870</v>
      </c>
      <c r="E766" s="2">
        <v>8775</v>
      </c>
      <c r="F766" s="10">
        <v>253.21</v>
      </c>
      <c r="G766" s="10">
        <f t="shared" si="11"/>
        <v>2221917.75</v>
      </c>
    </row>
    <row r="767" spans="1:7" x14ac:dyDescent="0.25">
      <c r="A767" t="s">
        <v>71</v>
      </c>
      <c r="B767" t="s">
        <v>397</v>
      </c>
      <c r="C767" t="s">
        <v>413</v>
      </c>
      <c r="D767" s="1">
        <v>43874</v>
      </c>
      <c r="E767" s="2">
        <v>8444</v>
      </c>
      <c r="F767" s="10">
        <v>383.62</v>
      </c>
      <c r="G767" s="10">
        <f t="shared" si="11"/>
        <v>3239287.2800000003</v>
      </c>
    </row>
    <row r="768" spans="1:7" x14ac:dyDescent="0.25">
      <c r="A768" t="s">
        <v>920</v>
      </c>
      <c r="B768" t="s">
        <v>400</v>
      </c>
      <c r="C768" t="s">
        <v>407</v>
      </c>
      <c r="D768" s="1">
        <v>43864</v>
      </c>
      <c r="E768" s="2">
        <v>9137</v>
      </c>
      <c r="F768" s="3">
        <v>367.71</v>
      </c>
      <c r="G768" s="3">
        <f t="shared" si="11"/>
        <v>3359766.27</v>
      </c>
    </row>
    <row r="769" spans="1:7" x14ac:dyDescent="0.25">
      <c r="A769" t="s">
        <v>921</v>
      </c>
      <c r="B769" t="s">
        <v>397</v>
      </c>
      <c r="C769" t="s">
        <v>406</v>
      </c>
      <c r="D769" s="1">
        <v>43885</v>
      </c>
      <c r="E769" s="2">
        <v>9933</v>
      </c>
      <c r="F769" s="3">
        <v>177.89</v>
      </c>
      <c r="G769" s="3">
        <f t="shared" si="11"/>
        <v>1766981.3699999999</v>
      </c>
    </row>
    <row r="770" spans="1:7" x14ac:dyDescent="0.25">
      <c r="A770" t="s">
        <v>922</v>
      </c>
      <c r="B770" t="s">
        <v>394</v>
      </c>
      <c r="C770" t="s">
        <v>401</v>
      </c>
      <c r="D770" s="1">
        <v>43882</v>
      </c>
      <c r="E770" s="2">
        <v>3443</v>
      </c>
      <c r="F770" s="3">
        <v>238.53</v>
      </c>
      <c r="G770" s="3">
        <f t="shared" si="11"/>
        <v>821258.79</v>
      </c>
    </row>
    <row r="771" spans="1:7" x14ac:dyDescent="0.25">
      <c r="A771" t="s">
        <v>26</v>
      </c>
      <c r="B771" t="s">
        <v>399</v>
      </c>
      <c r="C771" t="s">
        <v>410</v>
      </c>
      <c r="D771" s="1">
        <v>43867</v>
      </c>
      <c r="E771" s="2">
        <v>3800</v>
      </c>
      <c r="F771" s="3">
        <v>498.85</v>
      </c>
      <c r="G771" s="3">
        <f t="shared" ref="G771:G834" si="12">E771*F771</f>
        <v>1895630</v>
      </c>
    </row>
    <row r="772" spans="1:7" x14ac:dyDescent="0.25">
      <c r="A772" t="s">
        <v>923</v>
      </c>
      <c r="B772" t="s">
        <v>400</v>
      </c>
      <c r="C772" t="s">
        <v>413</v>
      </c>
      <c r="D772" s="1">
        <v>43851</v>
      </c>
      <c r="E772" s="2">
        <v>898</v>
      </c>
      <c r="F772" s="10">
        <v>74.87</v>
      </c>
      <c r="G772" s="10">
        <f t="shared" si="12"/>
        <v>67233.260000000009</v>
      </c>
    </row>
    <row r="773" spans="1:7" x14ac:dyDescent="0.25">
      <c r="A773" t="s">
        <v>924</v>
      </c>
      <c r="B773" t="s">
        <v>397</v>
      </c>
      <c r="C773" t="s">
        <v>406</v>
      </c>
      <c r="D773" s="1">
        <v>43881</v>
      </c>
      <c r="E773" s="2">
        <v>5678</v>
      </c>
      <c r="F773" s="3">
        <v>387.35</v>
      </c>
      <c r="G773" s="3">
        <f t="shared" si="12"/>
        <v>2199373.3000000003</v>
      </c>
    </row>
    <row r="774" spans="1:7" x14ac:dyDescent="0.25">
      <c r="A774" t="s">
        <v>925</v>
      </c>
      <c r="B774" t="s">
        <v>400</v>
      </c>
      <c r="C774" t="s">
        <v>408</v>
      </c>
      <c r="D774" s="1">
        <v>43833</v>
      </c>
      <c r="E774" s="2">
        <v>929</v>
      </c>
      <c r="F774" s="3">
        <v>450.84</v>
      </c>
      <c r="G774" s="3">
        <f t="shared" si="12"/>
        <v>418830.36</v>
      </c>
    </row>
    <row r="775" spans="1:7" x14ac:dyDescent="0.25">
      <c r="A775" t="s">
        <v>174</v>
      </c>
      <c r="B775" t="s">
        <v>399</v>
      </c>
      <c r="C775" t="s">
        <v>463</v>
      </c>
      <c r="D775" s="1">
        <v>43877</v>
      </c>
      <c r="E775" s="2">
        <v>3341</v>
      </c>
      <c r="F775" s="3">
        <v>334.27</v>
      </c>
      <c r="G775" s="3">
        <f t="shared" si="12"/>
        <v>1116796.0699999998</v>
      </c>
    </row>
    <row r="776" spans="1:7" x14ac:dyDescent="0.25">
      <c r="A776" t="s">
        <v>926</v>
      </c>
      <c r="B776" t="s">
        <v>398</v>
      </c>
      <c r="C776" t="s">
        <v>463</v>
      </c>
      <c r="D776" s="1">
        <v>43863</v>
      </c>
      <c r="E776" s="2">
        <v>8167</v>
      </c>
      <c r="F776" s="3">
        <v>323.58</v>
      </c>
      <c r="G776" s="3">
        <f t="shared" si="12"/>
        <v>2642677.86</v>
      </c>
    </row>
    <row r="777" spans="1:7" x14ac:dyDescent="0.25">
      <c r="A777" t="s">
        <v>927</v>
      </c>
      <c r="B777" t="s">
        <v>398</v>
      </c>
      <c r="C777" t="s">
        <v>401</v>
      </c>
      <c r="D777" s="1">
        <v>43866</v>
      </c>
      <c r="E777" s="2">
        <v>1114</v>
      </c>
      <c r="F777" s="3">
        <v>449.69</v>
      </c>
      <c r="G777" s="3">
        <f t="shared" si="12"/>
        <v>500954.66</v>
      </c>
    </row>
    <row r="778" spans="1:7" x14ac:dyDescent="0.25">
      <c r="A778" t="s">
        <v>219</v>
      </c>
      <c r="B778" t="s">
        <v>393</v>
      </c>
      <c r="C778" t="s">
        <v>408</v>
      </c>
      <c r="D778" s="1">
        <v>43879</v>
      </c>
      <c r="E778" s="2">
        <v>2432</v>
      </c>
      <c r="F778" s="3">
        <v>304.83999999999997</v>
      </c>
      <c r="G778" s="3">
        <f t="shared" si="12"/>
        <v>741370.87999999989</v>
      </c>
    </row>
    <row r="779" spans="1:7" x14ac:dyDescent="0.25">
      <c r="A779" t="s">
        <v>125</v>
      </c>
      <c r="B779" t="s">
        <v>399</v>
      </c>
      <c r="C779" t="s">
        <v>406</v>
      </c>
      <c r="D779" s="1">
        <v>43867</v>
      </c>
      <c r="E779" s="2">
        <v>1062</v>
      </c>
      <c r="F779" s="3">
        <v>343.41</v>
      </c>
      <c r="G779" s="3">
        <f t="shared" si="12"/>
        <v>364701.42000000004</v>
      </c>
    </row>
    <row r="780" spans="1:7" x14ac:dyDescent="0.25">
      <c r="A780" t="s">
        <v>928</v>
      </c>
      <c r="B780" t="s">
        <v>399</v>
      </c>
      <c r="C780" t="s">
        <v>463</v>
      </c>
      <c r="D780" s="1">
        <v>43854</v>
      </c>
      <c r="E780" s="2">
        <v>9412</v>
      </c>
      <c r="F780" s="3">
        <v>158.61000000000001</v>
      </c>
      <c r="G780" s="3">
        <f t="shared" si="12"/>
        <v>1492837.32</v>
      </c>
    </row>
    <row r="781" spans="1:7" x14ac:dyDescent="0.25">
      <c r="A781" t="s">
        <v>357</v>
      </c>
      <c r="B781" t="s">
        <v>400</v>
      </c>
      <c r="C781" t="s">
        <v>407</v>
      </c>
      <c r="D781" s="1">
        <v>43837</v>
      </c>
      <c r="E781" s="2">
        <v>3817</v>
      </c>
      <c r="F781" s="3">
        <v>337.66</v>
      </c>
      <c r="G781" s="3">
        <f t="shared" si="12"/>
        <v>1288848.2200000002</v>
      </c>
    </row>
    <row r="782" spans="1:7" x14ac:dyDescent="0.25">
      <c r="A782" t="s">
        <v>929</v>
      </c>
      <c r="B782" t="s">
        <v>395</v>
      </c>
      <c r="C782" t="s">
        <v>410</v>
      </c>
      <c r="D782" s="1">
        <v>43870</v>
      </c>
      <c r="E782" s="2">
        <v>7096</v>
      </c>
      <c r="F782" s="3">
        <v>403.17</v>
      </c>
      <c r="G782" s="3">
        <f t="shared" si="12"/>
        <v>2860894.3200000003</v>
      </c>
    </row>
    <row r="783" spans="1:7" x14ac:dyDescent="0.25">
      <c r="A783" t="s">
        <v>930</v>
      </c>
      <c r="B783" t="s">
        <v>395</v>
      </c>
      <c r="C783" t="s">
        <v>406</v>
      </c>
      <c r="D783" s="1">
        <v>43863</v>
      </c>
      <c r="E783" s="2">
        <v>2028</v>
      </c>
      <c r="F783" s="3">
        <v>320.33999999999997</v>
      </c>
      <c r="G783" s="3">
        <f t="shared" si="12"/>
        <v>649649.5199999999</v>
      </c>
    </row>
    <row r="784" spans="1:7" x14ac:dyDescent="0.25">
      <c r="A784" t="s">
        <v>931</v>
      </c>
      <c r="B784" t="s">
        <v>395</v>
      </c>
      <c r="C784" t="s">
        <v>463</v>
      </c>
      <c r="D784" s="1">
        <v>43857</v>
      </c>
      <c r="E784" s="2">
        <v>9154</v>
      </c>
      <c r="F784" s="3">
        <v>99.73</v>
      </c>
      <c r="G784" s="3">
        <f t="shared" si="12"/>
        <v>912928.42</v>
      </c>
    </row>
    <row r="785" spans="1:7" x14ac:dyDescent="0.25">
      <c r="A785" t="s">
        <v>105</v>
      </c>
      <c r="B785" t="s">
        <v>394</v>
      </c>
      <c r="C785" t="s">
        <v>407</v>
      </c>
      <c r="D785" s="1">
        <v>43885</v>
      </c>
      <c r="E785" s="2">
        <v>3537</v>
      </c>
      <c r="F785" s="3">
        <v>396.38</v>
      </c>
      <c r="G785" s="3">
        <f t="shared" si="12"/>
        <v>1401996.06</v>
      </c>
    </row>
    <row r="786" spans="1:7" x14ac:dyDescent="0.25">
      <c r="A786" t="s">
        <v>215</v>
      </c>
      <c r="B786" t="s">
        <v>393</v>
      </c>
      <c r="C786" t="s">
        <v>463</v>
      </c>
      <c r="D786" s="1">
        <v>43887</v>
      </c>
      <c r="E786" s="2">
        <v>363</v>
      </c>
      <c r="F786" s="3">
        <v>313.42</v>
      </c>
      <c r="G786" s="3">
        <f t="shared" si="12"/>
        <v>113771.46</v>
      </c>
    </row>
    <row r="787" spans="1:7" x14ac:dyDescent="0.25">
      <c r="A787" t="s">
        <v>126</v>
      </c>
      <c r="B787" t="s">
        <v>398</v>
      </c>
      <c r="C787" t="s">
        <v>410</v>
      </c>
      <c r="D787" s="1">
        <v>43869</v>
      </c>
      <c r="E787" s="2">
        <v>1576</v>
      </c>
      <c r="F787" s="3">
        <v>114.6</v>
      </c>
      <c r="G787" s="3">
        <f t="shared" si="12"/>
        <v>180609.59999999998</v>
      </c>
    </row>
    <row r="788" spans="1:7" x14ac:dyDescent="0.25">
      <c r="A788" t="s">
        <v>932</v>
      </c>
      <c r="B788" t="s">
        <v>393</v>
      </c>
      <c r="C788" t="s">
        <v>401</v>
      </c>
      <c r="D788" s="1">
        <v>43888</v>
      </c>
      <c r="E788" s="2">
        <v>3288</v>
      </c>
      <c r="F788" s="3">
        <v>128.61000000000001</v>
      </c>
      <c r="G788" s="3">
        <f t="shared" si="12"/>
        <v>422869.68000000005</v>
      </c>
    </row>
    <row r="789" spans="1:7" x14ac:dyDescent="0.25">
      <c r="A789" t="s">
        <v>364</v>
      </c>
      <c r="B789" t="s">
        <v>395</v>
      </c>
      <c r="C789" t="s">
        <v>412</v>
      </c>
      <c r="D789" s="1">
        <v>43884</v>
      </c>
      <c r="E789" s="2">
        <v>4900</v>
      </c>
      <c r="F789" s="3">
        <v>424.27</v>
      </c>
      <c r="G789" s="3">
        <f t="shared" si="12"/>
        <v>2078923</v>
      </c>
    </row>
    <row r="790" spans="1:7" x14ac:dyDescent="0.25">
      <c r="A790" t="s">
        <v>119</v>
      </c>
      <c r="B790" t="s">
        <v>393</v>
      </c>
      <c r="C790" t="s">
        <v>408</v>
      </c>
      <c r="D790" s="1">
        <v>43875</v>
      </c>
      <c r="E790" s="2">
        <v>1926</v>
      </c>
      <c r="F790" s="3">
        <v>472.73</v>
      </c>
      <c r="G790" s="3">
        <f t="shared" si="12"/>
        <v>910477.98</v>
      </c>
    </row>
    <row r="791" spans="1:7" x14ac:dyDescent="0.25">
      <c r="A791" t="s">
        <v>166</v>
      </c>
      <c r="B791" t="s">
        <v>400</v>
      </c>
      <c r="C791" t="s">
        <v>413</v>
      </c>
      <c r="D791" s="1">
        <v>43877</v>
      </c>
      <c r="E791" s="2">
        <v>9328</v>
      </c>
      <c r="F791" s="10">
        <v>266.92</v>
      </c>
      <c r="G791" s="10">
        <f t="shared" si="12"/>
        <v>2489829.7600000002</v>
      </c>
    </row>
    <row r="792" spans="1:7" x14ac:dyDescent="0.25">
      <c r="A792" t="s">
        <v>933</v>
      </c>
      <c r="B792" t="s">
        <v>399</v>
      </c>
      <c r="C792" t="s">
        <v>408</v>
      </c>
      <c r="D792" s="1">
        <v>43878</v>
      </c>
      <c r="E792" s="2">
        <v>5048</v>
      </c>
      <c r="F792" s="3">
        <v>292.01</v>
      </c>
      <c r="G792" s="3">
        <f t="shared" si="12"/>
        <v>1474066.48</v>
      </c>
    </row>
    <row r="793" spans="1:7" x14ac:dyDescent="0.25">
      <c r="A793" t="s">
        <v>934</v>
      </c>
      <c r="B793" t="s">
        <v>394</v>
      </c>
      <c r="C793" t="s">
        <v>410</v>
      </c>
      <c r="D793" s="1">
        <v>43864</v>
      </c>
      <c r="E793" s="2">
        <v>8947</v>
      </c>
      <c r="F793" s="3">
        <v>387.61</v>
      </c>
      <c r="G793" s="3">
        <f t="shared" si="12"/>
        <v>3467946.67</v>
      </c>
    </row>
    <row r="794" spans="1:7" x14ac:dyDescent="0.25">
      <c r="A794" t="s">
        <v>275</v>
      </c>
      <c r="B794" t="s">
        <v>400</v>
      </c>
      <c r="C794" t="s">
        <v>401</v>
      </c>
      <c r="D794" s="1">
        <v>43848</v>
      </c>
      <c r="E794" s="2">
        <v>8269</v>
      </c>
      <c r="F794" s="3">
        <v>208.22</v>
      </c>
      <c r="G794" s="3">
        <f t="shared" si="12"/>
        <v>1721771.18</v>
      </c>
    </row>
    <row r="795" spans="1:7" x14ac:dyDescent="0.25">
      <c r="A795" t="s">
        <v>935</v>
      </c>
      <c r="B795" t="s">
        <v>394</v>
      </c>
      <c r="C795" t="s">
        <v>413</v>
      </c>
      <c r="D795" s="1">
        <v>43876</v>
      </c>
      <c r="E795" s="2">
        <v>7962</v>
      </c>
      <c r="F795" s="10">
        <v>286.86</v>
      </c>
      <c r="G795" s="10">
        <f t="shared" si="12"/>
        <v>2283979.3200000003</v>
      </c>
    </row>
    <row r="796" spans="1:7" x14ac:dyDescent="0.25">
      <c r="A796" t="s">
        <v>936</v>
      </c>
      <c r="B796" t="s">
        <v>397</v>
      </c>
      <c r="C796" t="s">
        <v>407</v>
      </c>
      <c r="D796" s="1">
        <v>43863</v>
      </c>
      <c r="E796" s="2">
        <v>9174</v>
      </c>
      <c r="F796" s="3">
        <v>451.37</v>
      </c>
      <c r="G796" s="3">
        <f t="shared" si="12"/>
        <v>4140868.38</v>
      </c>
    </row>
    <row r="797" spans="1:7" x14ac:dyDescent="0.25">
      <c r="A797" t="s">
        <v>937</v>
      </c>
      <c r="B797" t="s">
        <v>394</v>
      </c>
      <c r="C797" t="s">
        <v>413</v>
      </c>
      <c r="D797" s="1">
        <v>43836</v>
      </c>
      <c r="E797" s="2">
        <v>954</v>
      </c>
      <c r="F797" s="10">
        <v>421.02</v>
      </c>
      <c r="G797" s="10">
        <f t="shared" si="12"/>
        <v>401653.07999999996</v>
      </c>
    </row>
    <row r="798" spans="1:7" x14ac:dyDescent="0.25">
      <c r="A798" t="s">
        <v>938</v>
      </c>
      <c r="B798" t="s">
        <v>399</v>
      </c>
      <c r="C798" t="s">
        <v>463</v>
      </c>
      <c r="D798" s="1">
        <v>43854</v>
      </c>
      <c r="E798" s="2">
        <v>6886</v>
      </c>
      <c r="F798" s="3">
        <v>202.62</v>
      </c>
      <c r="G798" s="3">
        <f t="shared" si="12"/>
        <v>1395241.32</v>
      </c>
    </row>
    <row r="799" spans="1:7" x14ac:dyDescent="0.25">
      <c r="A799" t="s">
        <v>939</v>
      </c>
      <c r="B799" t="s">
        <v>396</v>
      </c>
      <c r="C799" t="s">
        <v>410</v>
      </c>
      <c r="D799" s="1">
        <v>43835</v>
      </c>
      <c r="E799" s="2">
        <v>8964</v>
      </c>
      <c r="F799" s="3">
        <v>142.38999999999999</v>
      </c>
      <c r="G799" s="3">
        <f t="shared" si="12"/>
        <v>1276383.96</v>
      </c>
    </row>
    <row r="800" spans="1:7" x14ac:dyDescent="0.25">
      <c r="A800" t="s">
        <v>940</v>
      </c>
      <c r="B800" t="s">
        <v>398</v>
      </c>
      <c r="C800" t="s">
        <v>463</v>
      </c>
      <c r="D800" s="1">
        <v>43862</v>
      </c>
      <c r="E800" s="2">
        <v>5291</v>
      </c>
      <c r="F800" s="3">
        <v>496.31</v>
      </c>
      <c r="G800" s="3">
        <f t="shared" si="12"/>
        <v>2625976.21</v>
      </c>
    </row>
    <row r="801" spans="1:7" x14ac:dyDescent="0.25">
      <c r="A801" t="s">
        <v>55</v>
      </c>
      <c r="B801" t="s">
        <v>397</v>
      </c>
      <c r="C801" t="s">
        <v>407</v>
      </c>
      <c r="D801" s="1">
        <v>43859</v>
      </c>
      <c r="E801" s="2">
        <v>8944</v>
      </c>
      <c r="F801" s="3">
        <v>365.15</v>
      </c>
      <c r="G801" s="3">
        <f t="shared" si="12"/>
        <v>3265901.5999999996</v>
      </c>
    </row>
    <row r="802" spans="1:7" x14ac:dyDescent="0.25">
      <c r="A802" t="s">
        <v>941</v>
      </c>
      <c r="B802" t="s">
        <v>397</v>
      </c>
      <c r="C802" t="s">
        <v>410</v>
      </c>
      <c r="D802" s="1">
        <v>43844</v>
      </c>
      <c r="E802" s="2">
        <v>2376</v>
      </c>
      <c r="F802" s="3">
        <v>411.81</v>
      </c>
      <c r="G802" s="3">
        <f t="shared" si="12"/>
        <v>978460.56</v>
      </c>
    </row>
    <row r="803" spans="1:7" x14ac:dyDescent="0.25">
      <c r="A803" t="s">
        <v>237</v>
      </c>
      <c r="B803" t="s">
        <v>400</v>
      </c>
      <c r="C803" t="s">
        <v>411</v>
      </c>
      <c r="D803" s="1">
        <v>43833</v>
      </c>
      <c r="E803" s="2">
        <v>3370</v>
      </c>
      <c r="F803" s="3">
        <v>205.67</v>
      </c>
      <c r="G803" s="3">
        <f t="shared" si="12"/>
        <v>693107.89999999991</v>
      </c>
    </row>
    <row r="804" spans="1:7" x14ac:dyDescent="0.25">
      <c r="A804" t="s">
        <v>942</v>
      </c>
      <c r="B804" t="s">
        <v>397</v>
      </c>
      <c r="C804" t="s">
        <v>413</v>
      </c>
      <c r="D804" s="1">
        <v>43876</v>
      </c>
      <c r="E804" s="2">
        <v>4314</v>
      </c>
      <c r="F804" s="10">
        <v>133.41999999999999</v>
      </c>
      <c r="G804" s="10">
        <f t="shared" si="12"/>
        <v>575573.87999999989</v>
      </c>
    </row>
    <row r="805" spans="1:7" x14ac:dyDescent="0.25">
      <c r="A805" t="s">
        <v>118</v>
      </c>
      <c r="B805" t="s">
        <v>393</v>
      </c>
      <c r="C805" t="s">
        <v>407</v>
      </c>
      <c r="D805" s="1">
        <v>43851</v>
      </c>
      <c r="E805" s="2">
        <v>4412</v>
      </c>
      <c r="F805" s="3">
        <v>494</v>
      </c>
      <c r="G805" s="3">
        <f t="shared" si="12"/>
        <v>2179528</v>
      </c>
    </row>
    <row r="806" spans="1:7" x14ac:dyDescent="0.25">
      <c r="A806" t="s">
        <v>943</v>
      </c>
      <c r="B806" t="s">
        <v>400</v>
      </c>
      <c r="C806" t="s">
        <v>406</v>
      </c>
      <c r="D806" s="1">
        <v>43876</v>
      </c>
      <c r="E806" s="2">
        <v>731</v>
      </c>
      <c r="F806" s="3">
        <v>443.08</v>
      </c>
      <c r="G806" s="3">
        <f t="shared" si="12"/>
        <v>323891.48</v>
      </c>
    </row>
    <row r="807" spans="1:7" x14ac:dyDescent="0.25">
      <c r="A807" t="s">
        <v>24</v>
      </c>
      <c r="B807" t="s">
        <v>399</v>
      </c>
      <c r="C807" t="s">
        <v>411</v>
      </c>
      <c r="D807" s="1">
        <v>43854</v>
      </c>
      <c r="E807" s="2">
        <v>5605</v>
      </c>
      <c r="F807" s="3">
        <v>91.2</v>
      </c>
      <c r="G807" s="3">
        <f t="shared" si="12"/>
        <v>511176</v>
      </c>
    </row>
    <row r="808" spans="1:7" x14ac:dyDescent="0.25">
      <c r="A808" t="s">
        <v>262</v>
      </c>
      <c r="B808" t="s">
        <v>395</v>
      </c>
      <c r="C808" t="s">
        <v>411</v>
      </c>
      <c r="D808" s="1">
        <v>43834</v>
      </c>
      <c r="E808" s="2">
        <v>3715</v>
      </c>
      <c r="F808" s="3">
        <v>100.11</v>
      </c>
      <c r="G808" s="3">
        <f t="shared" si="12"/>
        <v>371908.65</v>
      </c>
    </row>
    <row r="809" spans="1:7" x14ac:dyDescent="0.25">
      <c r="A809" t="s">
        <v>34</v>
      </c>
      <c r="B809" t="s">
        <v>397</v>
      </c>
      <c r="C809" t="s">
        <v>407</v>
      </c>
      <c r="D809" s="1">
        <v>43835</v>
      </c>
      <c r="E809" s="2">
        <v>3077</v>
      </c>
      <c r="F809" s="3">
        <v>109.78</v>
      </c>
      <c r="G809" s="3">
        <f t="shared" si="12"/>
        <v>337793.06</v>
      </c>
    </row>
    <row r="810" spans="1:7" x14ac:dyDescent="0.25">
      <c r="A810" t="s">
        <v>944</v>
      </c>
      <c r="B810" t="s">
        <v>394</v>
      </c>
      <c r="C810" t="s">
        <v>406</v>
      </c>
      <c r="D810" s="1">
        <v>43845</v>
      </c>
      <c r="E810" s="2">
        <v>4717</v>
      </c>
      <c r="F810" s="3">
        <v>476.14</v>
      </c>
      <c r="G810" s="3">
        <f t="shared" si="12"/>
        <v>2245952.38</v>
      </c>
    </row>
    <row r="811" spans="1:7" x14ac:dyDescent="0.25">
      <c r="A811" t="s">
        <v>945</v>
      </c>
      <c r="B811" t="s">
        <v>395</v>
      </c>
      <c r="C811" t="s">
        <v>412</v>
      </c>
      <c r="D811" s="1">
        <v>43874</v>
      </c>
      <c r="E811" s="2">
        <v>6174</v>
      </c>
      <c r="F811" s="3">
        <v>395.62</v>
      </c>
      <c r="G811" s="3">
        <f t="shared" si="12"/>
        <v>2442557.88</v>
      </c>
    </row>
    <row r="812" spans="1:7" x14ac:dyDescent="0.25">
      <c r="A812" t="s">
        <v>88</v>
      </c>
      <c r="B812" t="s">
        <v>398</v>
      </c>
      <c r="C812" t="s">
        <v>413</v>
      </c>
      <c r="D812" s="1">
        <v>43856</v>
      </c>
      <c r="E812" s="2">
        <v>9177</v>
      </c>
      <c r="F812" s="10">
        <v>65.22</v>
      </c>
      <c r="G812" s="10">
        <f t="shared" si="12"/>
        <v>598523.93999999994</v>
      </c>
    </row>
    <row r="813" spans="1:7" x14ac:dyDescent="0.25">
      <c r="A813" t="s">
        <v>946</v>
      </c>
      <c r="B813" t="s">
        <v>395</v>
      </c>
      <c r="C813" t="s">
        <v>406</v>
      </c>
      <c r="D813" s="1">
        <v>43883</v>
      </c>
      <c r="E813" s="2">
        <v>9160</v>
      </c>
      <c r="F813" s="3">
        <v>60.73</v>
      </c>
      <c r="G813" s="3">
        <f t="shared" si="12"/>
        <v>556286.79999999993</v>
      </c>
    </row>
    <row r="814" spans="1:7" x14ac:dyDescent="0.25">
      <c r="A814" t="s">
        <v>947</v>
      </c>
      <c r="B814" t="s">
        <v>396</v>
      </c>
      <c r="C814" t="s">
        <v>408</v>
      </c>
      <c r="D814" s="1">
        <v>43844</v>
      </c>
      <c r="E814" s="2">
        <v>7439</v>
      </c>
      <c r="F814" s="3">
        <v>170</v>
      </c>
      <c r="G814" s="3">
        <f t="shared" si="12"/>
        <v>1264630</v>
      </c>
    </row>
    <row r="815" spans="1:7" x14ac:dyDescent="0.25">
      <c r="A815" t="s">
        <v>948</v>
      </c>
      <c r="B815" t="s">
        <v>399</v>
      </c>
      <c r="C815" t="s">
        <v>407</v>
      </c>
      <c r="D815" s="1">
        <v>43868</v>
      </c>
      <c r="E815" s="2">
        <v>9264</v>
      </c>
      <c r="F815" s="3">
        <v>59.27</v>
      </c>
      <c r="G815" s="3">
        <f t="shared" si="12"/>
        <v>549077.28</v>
      </c>
    </row>
    <row r="816" spans="1:7" x14ac:dyDescent="0.25">
      <c r="A816" t="s">
        <v>949</v>
      </c>
      <c r="B816" t="s">
        <v>394</v>
      </c>
      <c r="C816" t="s">
        <v>408</v>
      </c>
      <c r="D816" s="1">
        <v>43840</v>
      </c>
      <c r="E816" s="2">
        <v>4921</v>
      </c>
      <c r="F816" s="3">
        <v>141.49</v>
      </c>
      <c r="G816" s="3">
        <f t="shared" si="12"/>
        <v>696272.29</v>
      </c>
    </row>
    <row r="817" spans="1:7" x14ac:dyDescent="0.25">
      <c r="A817" t="s">
        <v>42</v>
      </c>
      <c r="B817" t="s">
        <v>395</v>
      </c>
      <c r="C817" t="s">
        <v>411</v>
      </c>
      <c r="D817" s="1">
        <v>43853</v>
      </c>
      <c r="E817" s="2">
        <v>5116</v>
      </c>
      <c r="F817" s="3">
        <v>324.56</v>
      </c>
      <c r="G817" s="3">
        <f t="shared" si="12"/>
        <v>1660448.96</v>
      </c>
    </row>
    <row r="818" spans="1:7" x14ac:dyDescent="0.25">
      <c r="A818" t="s">
        <v>950</v>
      </c>
      <c r="B818" t="s">
        <v>399</v>
      </c>
      <c r="C818" t="s">
        <v>407</v>
      </c>
      <c r="D818" s="1">
        <v>43864</v>
      </c>
      <c r="E818" s="2">
        <v>9205</v>
      </c>
      <c r="F818" s="3">
        <v>465.49</v>
      </c>
      <c r="G818" s="3">
        <f t="shared" si="12"/>
        <v>4284835.45</v>
      </c>
    </row>
    <row r="819" spans="1:7" x14ac:dyDescent="0.25">
      <c r="A819" t="s">
        <v>951</v>
      </c>
      <c r="B819" t="s">
        <v>398</v>
      </c>
      <c r="C819" t="s">
        <v>412</v>
      </c>
      <c r="D819" s="1">
        <v>43836</v>
      </c>
      <c r="E819" s="2">
        <v>4477</v>
      </c>
      <c r="F819" s="3">
        <v>434.3</v>
      </c>
      <c r="G819" s="3">
        <f t="shared" si="12"/>
        <v>1944361.1</v>
      </c>
    </row>
    <row r="820" spans="1:7" x14ac:dyDescent="0.25">
      <c r="A820" t="s">
        <v>130</v>
      </c>
      <c r="B820" t="s">
        <v>395</v>
      </c>
      <c r="C820" t="s">
        <v>463</v>
      </c>
      <c r="D820" s="1">
        <v>43878</v>
      </c>
      <c r="E820" s="2">
        <v>363</v>
      </c>
      <c r="F820" s="3">
        <v>257.14</v>
      </c>
      <c r="G820" s="3">
        <f t="shared" si="12"/>
        <v>93341.819999999992</v>
      </c>
    </row>
    <row r="821" spans="1:7" x14ac:dyDescent="0.25">
      <c r="A821" t="s">
        <v>315</v>
      </c>
      <c r="B821" t="s">
        <v>393</v>
      </c>
      <c r="C821" t="s">
        <v>407</v>
      </c>
      <c r="D821" s="1">
        <v>43831</v>
      </c>
      <c r="E821" s="2">
        <v>3489</v>
      </c>
      <c r="F821" s="3">
        <v>448.17</v>
      </c>
      <c r="G821" s="3">
        <f t="shared" si="12"/>
        <v>1563665.1300000001</v>
      </c>
    </row>
    <row r="822" spans="1:7" x14ac:dyDescent="0.25">
      <c r="A822" t="s">
        <v>952</v>
      </c>
      <c r="B822" t="s">
        <v>395</v>
      </c>
      <c r="C822" t="s">
        <v>406</v>
      </c>
      <c r="D822" s="1">
        <v>43844</v>
      </c>
      <c r="E822" s="2">
        <v>7327</v>
      </c>
      <c r="F822" s="3">
        <v>72.3</v>
      </c>
      <c r="G822" s="3">
        <f t="shared" si="12"/>
        <v>529742.1</v>
      </c>
    </row>
    <row r="823" spans="1:7" x14ac:dyDescent="0.25">
      <c r="A823" t="s">
        <v>953</v>
      </c>
      <c r="B823" t="s">
        <v>394</v>
      </c>
      <c r="C823" t="s">
        <v>463</v>
      </c>
      <c r="D823" s="1">
        <v>43883</v>
      </c>
      <c r="E823" s="2">
        <v>785</v>
      </c>
      <c r="F823" s="3">
        <v>348.85</v>
      </c>
      <c r="G823" s="3">
        <f t="shared" si="12"/>
        <v>273847.25</v>
      </c>
    </row>
    <row r="824" spans="1:7" x14ac:dyDescent="0.25">
      <c r="A824" t="s">
        <v>954</v>
      </c>
      <c r="B824" t="s">
        <v>395</v>
      </c>
      <c r="C824" t="s">
        <v>406</v>
      </c>
      <c r="D824" s="1">
        <v>43873</v>
      </c>
      <c r="E824" s="2">
        <v>4368</v>
      </c>
      <c r="F824" s="3">
        <v>100.71</v>
      </c>
      <c r="G824" s="3">
        <f t="shared" si="12"/>
        <v>439901.27999999997</v>
      </c>
    </row>
    <row r="825" spans="1:7" x14ac:dyDescent="0.25">
      <c r="A825" t="s">
        <v>955</v>
      </c>
      <c r="B825" t="s">
        <v>398</v>
      </c>
      <c r="C825" t="s">
        <v>463</v>
      </c>
      <c r="D825" s="1">
        <v>43856</v>
      </c>
      <c r="E825" s="2">
        <v>6446</v>
      </c>
      <c r="F825" s="3">
        <v>399.18</v>
      </c>
      <c r="G825" s="3">
        <f t="shared" si="12"/>
        <v>2573114.2800000003</v>
      </c>
    </row>
    <row r="826" spans="1:7" x14ac:dyDescent="0.25">
      <c r="A826" t="s">
        <v>190</v>
      </c>
      <c r="B826" t="s">
        <v>399</v>
      </c>
      <c r="C826" t="s">
        <v>406</v>
      </c>
      <c r="D826" s="1">
        <v>43884</v>
      </c>
      <c r="E826" s="2">
        <v>2296</v>
      </c>
      <c r="F826" s="3">
        <v>320.66000000000003</v>
      </c>
      <c r="G826" s="3">
        <f t="shared" si="12"/>
        <v>736235.3600000001</v>
      </c>
    </row>
    <row r="827" spans="1:7" x14ac:dyDescent="0.25">
      <c r="A827" t="s">
        <v>956</v>
      </c>
      <c r="B827" t="s">
        <v>399</v>
      </c>
      <c r="C827" t="s">
        <v>410</v>
      </c>
      <c r="D827" s="1">
        <v>43841</v>
      </c>
      <c r="E827" s="2">
        <v>7978</v>
      </c>
      <c r="F827" s="3">
        <v>351.82</v>
      </c>
      <c r="G827" s="3">
        <f t="shared" si="12"/>
        <v>2806819.96</v>
      </c>
    </row>
    <row r="828" spans="1:7" x14ac:dyDescent="0.25">
      <c r="A828" t="s">
        <v>29</v>
      </c>
      <c r="B828" t="s">
        <v>393</v>
      </c>
      <c r="C828" t="s">
        <v>411</v>
      </c>
      <c r="D828" s="1">
        <v>43887</v>
      </c>
      <c r="E828" s="2">
        <v>5869</v>
      </c>
      <c r="F828" s="3">
        <v>352.26</v>
      </c>
      <c r="G828" s="3">
        <f t="shared" si="12"/>
        <v>2067413.94</v>
      </c>
    </row>
    <row r="829" spans="1:7" x14ac:dyDescent="0.25">
      <c r="A829" t="s">
        <v>957</v>
      </c>
      <c r="B829" t="s">
        <v>398</v>
      </c>
      <c r="C829" t="s">
        <v>406</v>
      </c>
      <c r="D829" s="1">
        <v>43844</v>
      </c>
      <c r="E829" s="2">
        <v>8246</v>
      </c>
      <c r="F829" s="3">
        <v>321.18</v>
      </c>
      <c r="G829" s="3">
        <f t="shared" si="12"/>
        <v>2648450.2800000003</v>
      </c>
    </row>
    <row r="830" spans="1:7" x14ac:dyDescent="0.25">
      <c r="A830" t="s">
        <v>268</v>
      </c>
      <c r="B830" t="s">
        <v>399</v>
      </c>
      <c r="C830" t="s">
        <v>406</v>
      </c>
      <c r="D830" s="1">
        <v>43870</v>
      </c>
      <c r="E830" s="2">
        <v>7859</v>
      </c>
      <c r="F830" s="3">
        <v>278.8</v>
      </c>
      <c r="G830" s="3">
        <f t="shared" si="12"/>
        <v>2191089.2000000002</v>
      </c>
    </row>
    <row r="831" spans="1:7" x14ac:dyDescent="0.25">
      <c r="A831" t="s">
        <v>172</v>
      </c>
      <c r="B831" t="s">
        <v>400</v>
      </c>
      <c r="C831" t="s">
        <v>411</v>
      </c>
      <c r="D831" s="1">
        <v>43868</v>
      </c>
      <c r="E831" s="2">
        <v>4150</v>
      </c>
      <c r="F831" s="3">
        <v>280.99</v>
      </c>
      <c r="G831" s="3">
        <f t="shared" si="12"/>
        <v>1166108.5</v>
      </c>
    </row>
    <row r="832" spans="1:7" x14ac:dyDescent="0.25">
      <c r="A832" t="s">
        <v>958</v>
      </c>
      <c r="B832" t="s">
        <v>395</v>
      </c>
      <c r="C832" t="s">
        <v>411</v>
      </c>
      <c r="D832" s="1">
        <v>43846</v>
      </c>
      <c r="E832" s="2">
        <v>2974</v>
      </c>
      <c r="F832" s="3">
        <v>129.22999999999999</v>
      </c>
      <c r="G832" s="3">
        <f t="shared" si="12"/>
        <v>384330.01999999996</v>
      </c>
    </row>
    <row r="833" spans="1:7" x14ac:dyDescent="0.25">
      <c r="A833" t="s">
        <v>225</v>
      </c>
      <c r="B833" t="s">
        <v>399</v>
      </c>
      <c r="C833" t="s">
        <v>401</v>
      </c>
      <c r="D833" s="1">
        <v>43880</v>
      </c>
      <c r="E833" s="2">
        <v>4593</v>
      </c>
      <c r="F833" s="3">
        <v>310</v>
      </c>
      <c r="G833" s="3">
        <f t="shared" si="12"/>
        <v>1423830</v>
      </c>
    </row>
    <row r="834" spans="1:7" x14ac:dyDescent="0.25">
      <c r="A834" t="s">
        <v>959</v>
      </c>
      <c r="B834" t="s">
        <v>396</v>
      </c>
      <c r="C834" t="s">
        <v>412</v>
      </c>
      <c r="D834" s="1">
        <v>43883</v>
      </c>
      <c r="E834" s="2">
        <v>1390</v>
      </c>
      <c r="F834" s="3">
        <v>452.46</v>
      </c>
      <c r="G834" s="3">
        <f t="shared" si="12"/>
        <v>628919.4</v>
      </c>
    </row>
    <row r="835" spans="1:7" x14ac:dyDescent="0.25">
      <c r="A835" t="s">
        <v>960</v>
      </c>
      <c r="B835" t="s">
        <v>400</v>
      </c>
      <c r="C835" t="s">
        <v>411</v>
      </c>
      <c r="D835" s="1">
        <v>43852</v>
      </c>
      <c r="E835" s="2">
        <v>7134</v>
      </c>
      <c r="F835" s="3">
        <v>340.24</v>
      </c>
      <c r="G835" s="3">
        <f t="shared" ref="G835:G898" si="13">E835*F835</f>
        <v>2427272.16</v>
      </c>
    </row>
    <row r="836" spans="1:7" x14ac:dyDescent="0.25">
      <c r="A836" t="s">
        <v>112</v>
      </c>
      <c r="B836" t="s">
        <v>400</v>
      </c>
      <c r="C836" t="s">
        <v>412</v>
      </c>
      <c r="D836" s="1">
        <v>43856</v>
      </c>
      <c r="E836" s="2">
        <v>1234</v>
      </c>
      <c r="F836" s="3">
        <v>497.11</v>
      </c>
      <c r="G836" s="3">
        <f t="shared" si="13"/>
        <v>613433.74</v>
      </c>
    </row>
    <row r="837" spans="1:7" x14ac:dyDescent="0.25">
      <c r="A837" t="s">
        <v>265</v>
      </c>
      <c r="B837" t="s">
        <v>398</v>
      </c>
      <c r="C837" t="s">
        <v>408</v>
      </c>
      <c r="D837" s="1">
        <v>43854</v>
      </c>
      <c r="E837" s="2">
        <v>1948</v>
      </c>
      <c r="F837" s="3">
        <v>192.05</v>
      </c>
      <c r="G837" s="3">
        <f t="shared" si="13"/>
        <v>374113.4</v>
      </c>
    </row>
    <row r="838" spans="1:7" x14ac:dyDescent="0.25">
      <c r="A838" t="s">
        <v>961</v>
      </c>
      <c r="B838" t="s">
        <v>393</v>
      </c>
      <c r="C838" t="s">
        <v>407</v>
      </c>
      <c r="D838" s="1">
        <v>43835</v>
      </c>
      <c r="E838" s="2">
        <v>2753</v>
      </c>
      <c r="F838" s="3">
        <v>353.81</v>
      </c>
      <c r="G838" s="3">
        <f t="shared" si="13"/>
        <v>974038.93</v>
      </c>
    </row>
    <row r="839" spans="1:7" x14ac:dyDescent="0.25">
      <c r="A839" t="s">
        <v>251</v>
      </c>
      <c r="B839" t="s">
        <v>400</v>
      </c>
      <c r="C839" t="s">
        <v>410</v>
      </c>
      <c r="D839" s="1">
        <v>43881</v>
      </c>
      <c r="E839" s="2">
        <v>667</v>
      </c>
      <c r="F839" s="3">
        <v>209.26</v>
      </c>
      <c r="G839" s="3">
        <f t="shared" si="13"/>
        <v>139576.41999999998</v>
      </c>
    </row>
    <row r="840" spans="1:7" x14ac:dyDescent="0.25">
      <c r="A840" t="s">
        <v>962</v>
      </c>
      <c r="B840" t="s">
        <v>394</v>
      </c>
      <c r="C840" t="s">
        <v>407</v>
      </c>
      <c r="D840" s="1">
        <v>43871</v>
      </c>
      <c r="E840" s="2">
        <v>880</v>
      </c>
      <c r="F840" s="3">
        <v>403.66</v>
      </c>
      <c r="G840" s="3">
        <f t="shared" si="13"/>
        <v>355220.80000000005</v>
      </c>
    </row>
    <row r="841" spans="1:7" x14ac:dyDescent="0.25">
      <c r="A841" t="s">
        <v>963</v>
      </c>
      <c r="B841" t="s">
        <v>394</v>
      </c>
      <c r="C841" t="s">
        <v>407</v>
      </c>
      <c r="D841" s="1">
        <v>43859</v>
      </c>
      <c r="E841" s="2">
        <v>7292</v>
      </c>
      <c r="F841" s="3">
        <v>327.05</v>
      </c>
      <c r="G841" s="3">
        <f t="shared" si="13"/>
        <v>2384848.6</v>
      </c>
    </row>
    <row r="842" spans="1:7" x14ac:dyDescent="0.25">
      <c r="A842" t="s">
        <v>964</v>
      </c>
      <c r="B842" t="s">
        <v>397</v>
      </c>
      <c r="C842" t="s">
        <v>410</v>
      </c>
      <c r="D842" s="1">
        <v>43878</v>
      </c>
      <c r="E842" s="2">
        <v>3578</v>
      </c>
      <c r="F842" s="3">
        <v>119.44</v>
      </c>
      <c r="G842" s="3">
        <f t="shared" si="13"/>
        <v>427356.32</v>
      </c>
    </row>
    <row r="843" spans="1:7" x14ac:dyDescent="0.25">
      <c r="A843" t="s">
        <v>965</v>
      </c>
      <c r="B843" t="s">
        <v>400</v>
      </c>
      <c r="C843" t="s">
        <v>463</v>
      </c>
      <c r="D843" s="1">
        <v>43844</v>
      </c>
      <c r="E843" s="2">
        <v>8406</v>
      </c>
      <c r="F843" s="3">
        <v>280.69</v>
      </c>
      <c r="G843" s="3">
        <f t="shared" si="13"/>
        <v>2359480.14</v>
      </c>
    </row>
    <row r="844" spans="1:7" x14ac:dyDescent="0.25">
      <c r="A844" t="s">
        <v>374</v>
      </c>
      <c r="B844" t="s">
        <v>398</v>
      </c>
      <c r="C844" t="s">
        <v>407</v>
      </c>
      <c r="D844" s="1">
        <v>43883</v>
      </c>
      <c r="E844" s="2">
        <v>4519</v>
      </c>
      <c r="F844" s="3">
        <v>434.46</v>
      </c>
      <c r="G844" s="3">
        <f t="shared" si="13"/>
        <v>1963324.74</v>
      </c>
    </row>
    <row r="845" spans="1:7" x14ac:dyDescent="0.25">
      <c r="A845" t="s">
        <v>132</v>
      </c>
      <c r="B845" t="s">
        <v>393</v>
      </c>
      <c r="C845" t="s">
        <v>406</v>
      </c>
      <c r="D845" s="1">
        <v>43870</v>
      </c>
      <c r="E845" s="2">
        <v>178</v>
      </c>
      <c r="F845" s="3">
        <v>411.89</v>
      </c>
      <c r="G845" s="3">
        <f t="shared" si="13"/>
        <v>73316.42</v>
      </c>
    </row>
    <row r="846" spans="1:7" x14ac:dyDescent="0.25">
      <c r="A846" t="s">
        <v>966</v>
      </c>
      <c r="B846" t="s">
        <v>400</v>
      </c>
      <c r="C846" t="s">
        <v>410</v>
      </c>
      <c r="D846" s="1">
        <v>43886</v>
      </c>
      <c r="E846" s="2">
        <v>4780</v>
      </c>
      <c r="F846" s="3">
        <v>154.85</v>
      </c>
      <c r="G846" s="3">
        <f t="shared" si="13"/>
        <v>740183</v>
      </c>
    </row>
    <row r="847" spans="1:7" x14ac:dyDescent="0.25">
      <c r="A847" t="s">
        <v>967</v>
      </c>
      <c r="B847" t="s">
        <v>397</v>
      </c>
      <c r="C847" t="s">
        <v>407</v>
      </c>
      <c r="D847" s="1">
        <v>43882</v>
      </c>
      <c r="E847" s="2">
        <v>9119</v>
      </c>
      <c r="F847" s="3">
        <v>121.71</v>
      </c>
      <c r="G847" s="3">
        <f t="shared" si="13"/>
        <v>1109873.49</v>
      </c>
    </row>
    <row r="848" spans="1:7" x14ac:dyDescent="0.25">
      <c r="A848" t="s">
        <v>387</v>
      </c>
      <c r="B848" t="s">
        <v>395</v>
      </c>
      <c r="C848" t="s">
        <v>411</v>
      </c>
      <c r="D848" s="1">
        <v>43847</v>
      </c>
      <c r="E848" s="2">
        <v>7976</v>
      </c>
      <c r="F848" s="3">
        <v>279.01</v>
      </c>
      <c r="G848" s="3">
        <f t="shared" si="13"/>
        <v>2225383.7599999998</v>
      </c>
    </row>
    <row r="849" spans="1:7" x14ac:dyDescent="0.25">
      <c r="A849" t="s">
        <v>968</v>
      </c>
      <c r="B849" t="s">
        <v>398</v>
      </c>
      <c r="C849" t="s">
        <v>406</v>
      </c>
      <c r="D849" s="1">
        <v>43875</v>
      </c>
      <c r="E849" s="2">
        <v>2496</v>
      </c>
      <c r="F849" s="3">
        <v>238.77</v>
      </c>
      <c r="G849" s="3">
        <f t="shared" si="13"/>
        <v>595969.92000000004</v>
      </c>
    </row>
    <row r="850" spans="1:7" x14ac:dyDescent="0.25">
      <c r="A850" t="s">
        <v>969</v>
      </c>
      <c r="B850" t="s">
        <v>397</v>
      </c>
      <c r="C850" t="s">
        <v>411</v>
      </c>
      <c r="D850" s="1">
        <v>43851</v>
      </c>
      <c r="E850" s="2">
        <v>9343</v>
      </c>
      <c r="F850" s="3">
        <v>80.78</v>
      </c>
      <c r="G850" s="3">
        <f t="shared" si="13"/>
        <v>754727.54</v>
      </c>
    </row>
    <row r="851" spans="1:7" x14ac:dyDescent="0.25">
      <c r="A851" t="s">
        <v>167</v>
      </c>
      <c r="B851" t="s">
        <v>394</v>
      </c>
      <c r="C851" t="s">
        <v>411</v>
      </c>
      <c r="D851" s="1">
        <v>43869</v>
      </c>
      <c r="E851" s="2">
        <v>256</v>
      </c>
      <c r="F851" s="3">
        <v>361.92</v>
      </c>
      <c r="G851" s="3">
        <f t="shared" si="13"/>
        <v>92651.520000000004</v>
      </c>
    </row>
    <row r="852" spans="1:7" x14ac:dyDescent="0.25">
      <c r="A852" t="s">
        <v>970</v>
      </c>
      <c r="B852" t="s">
        <v>398</v>
      </c>
      <c r="C852" t="s">
        <v>463</v>
      </c>
      <c r="D852" s="1">
        <v>43856</v>
      </c>
      <c r="E852" s="2">
        <v>5522</v>
      </c>
      <c r="F852" s="3">
        <v>244.19</v>
      </c>
      <c r="G852" s="3">
        <f t="shared" si="13"/>
        <v>1348417.18</v>
      </c>
    </row>
    <row r="853" spans="1:7" x14ac:dyDescent="0.25">
      <c r="A853" t="s">
        <v>971</v>
      </c>
      <c r="B853" t="s">
        <v>394</v>
      </c>
      <c r="C853" t="s">
        <v>407</v>
      </c>
      <c r="D853" s="1">
        <v>43831</v>
      </c>
      <c r="E853" s="2">
        <v>8855</v>
      </c>
      <c r="F853" s="3">
        <v>94.29</v>
      </c>
      <c r="G853" s="3">
        <f t="shared" si="13"/>
        <v>834937.95000000007</v>
      </c>
    </row>
    <row r="854" spans="1:7" x14ac:dyDescent="0.25">
      <c r="A854" t="s">
        <v>972</v>
      </c>
      <c r="B854" t="s">
        <v>400</v>
      </c>
      <c r="C854" t="s">
        <v>410</v>
      </c>
      <c r="D854" s="1">
        <v>43863</v>
      </c>
      <c r="E854" s="2">
        <v>5338</v>
      </c>
      <c r="F854" s="3">
        <v>277.01</v>
      </c>
      <c r="G854" s="3">
        <f t="shared" si="13"/>
        <v>1478679.38</v>
      </c>
    </row>
    <row r="855" spans="1:7" x14ac:dyDescent="0.25">
      <c r="A855" t="s">
        <v>973</v>
      </c>
      <c r="B855" t="s">
        <v>396</v>
      </c>
      <c r="C855" t="s">
        <v>401</v>
      </c>
      <c r="D855" s="1">
        <v>43840</v>
      </c>
      <c r="E855" s="2">
        <v>670</v>
      </c>
      <c r="F855" s="3">
        <v>389.57</v>
      </c>
      <c r="G855" s="3">
        <f t="shared" si="13"/>
        <v>261011.9</v>
      </c>
    </row>
    <row r="856" spans="1:7" x14ac:dyDescent="0.25">
      <c r="A856" t="s">
        <v>974</v>
      </c>
      <c r="B856" t="s">
        <v>399</v>
      </c>
      <c r="C856" t="s">
        <v>406</v>
      </c>
      <c r="D856" s="1">
        <v>43853</v>
      </c>
      <c r="E856" s="2">
        <v>1560</v>
      </c>
      <c r="F856" s="3">
        <v>291.12</v>
      </c>
      <c r="G856" s="3">
        <f t="shared" si="13"/>
        <v>454147.2</v>
      </c>
    </row>
    <row r="857" spans="1:7" x14ac:dyDescent="0.25">
      <c r="A857" t="s">
        <v>975</v>
      </c>
      <c r="B857" t="s">
        <v>400</v>
      </c>
      <c r="C857" t="s">
        <v>413</v>
      </c>
      <c r="D857" s="1">
        <v>43865</v>
      </c>
      <c r="E857" s="2">
        <v>1013</v>
      </c>
      <c r="F857" s="10">
        <v>175.33</v>
      </c>
      <c r="G857" s="10">
        <f t="shared" si="13"/>
        <v>177609.29</v>
      </c>
    </row>
    <row r="858" spans="1:7" x14ac:dyDescent="0.25">
      <c r="A858" t="s">
        <v>976</v>
      </c>
      <c r="B858" t="s">
        <v>394</v>
      </c>
      <c r="C858" t="s">
        <v>407</v>
      </c>
      <c r="D858" s="1">
        <v>43853</v>
      </c>
      <c r="E858" s="2">
        <v>4018</v>
      </c>
      <c r="F858" s="3">
        <v>336.74</v>
      </c>
      <c r="G858" s="3">
        <f t="shared" si="13"/>
        <v>1353021.32</v>
      </c>
    </row>
    <row r="859" spans="1:7" x14ac:dyDescent="0.25">
      <c r="A859" t="s">
        <v>977</v>
      </c>
      <c r="B859" t="s">
        <v>395</v>
      </c>
      <c r="C859" t="s">
        <v>401</v>
      </c>
      <c r="D859" s="1">
        <v>43854</v>
      </c>
      <c r="E859" s="2">
        <v>4802</v>
      </c>
      <c r="F859" s="3">
        <v>393.38</v>
      </c>
      <c r="G859" s="3">
        <f t="shared" si="13"/>
        <v>1889010.76</v>
      </c>
    </row>
    <row r="860" spans="1:7" x14ac:dyDescent="0.25">
      <c r="A860" t="s">
        <v>45</v>
      </c>
      <c r="B860" t="s">
        <v>395</v>
      </c>
      <c r="C860" t="s">
        <v>410</v>
      </c>
      <c r="D860" s="1">
        <v>43852</v>
      </c>
      <c r="E860" s="2">
        <v>2381</v>
      </c>
      <c r="F860" s="3">
        <v>229.51</v>
      </c>
      <c r="G860" s="3">
        <f t="shared" si="13"/>
        <v>546463.30999999994</v>
      </c>
    </row>
    <row r="861" spans="1:7" x14ac:dyDescent="0.25">
      <c r="A861" t="s">
        <v>978</v>
      </c>
      <c r="B861" t="s">
        <v>400</v>
      </c>
      <c r="C861" t="s">
        <v>412</v>
      </c>
      <c r="D861" s="1">
        <v>43841</v>
      </c>
      <c r="E861" s="2">
        <v>5441</v>
      </c>
      <c r="F861" s="3">
        <v>129.38999999999999</v>
      </c>
      <c r="G861" s="3">
        <f t="shared" si="13"/>
        <v>704010.98999999987</v>
      </c>
    </row>
    <row r="862" spans="1:7" x14ac:dyDescent="0.25">
      <c r="A862" t="s">
        <v>333</v>
      </c>
      <c r="B862" t="s">
        <v>398</v>
      </c>
      <c r="C862" t="s">
        <v>407</v>
      </c>
      <c r="D862" s="1">
        <v>43885</v>
      </c>
      <c r="E862" s="2">
        <v>5097</v>
      </c>
      <c r="F862" s="3">
        <v>222.29</v>
      </c>
      <c r="G862" s="3">
        <f t="shared" si="13"/>
        <v>1133012.1299999999</v>
      </c>
    </row>
    <row r="863" spans="1:7" x14ac:dyDescent="0.25">
      <c r="A863" t="s">
        <v>979</v>
      </c>
      <c r="B863" t="s">
        <v>398</v>
      </c>
      <c r="C863" t="s">
        <v>413</v>
      </c>
      <c r="D863" s="1">
        <v>43870</v>
      </c>
      <c r="E863" s="2">
        <v>2789</v>
      </c>
      <c r="F863" s="10">
        <v>496.08</v>
      </c>
      <c r="G863" s="10">
        <f t="shared" si="13"/>
        <v>1383567.1199999999</v>
      </c>
    </row>
    <row r="864" spans="1:7" x14ac:dyDescent="0.25">
      <c r="A864" t="s">
        <v>980</v>
      </c>
      <c r="B864" t="s">
        <v>399</v>
      </c>
      <c r="C864" t="s">
        <v>401</v>
      </c>
      <c r="D864" s="1">
        <v>43883</v>
      </c>
      <c r="E864" s="2">
        <v>9132</v>
      </c>
      <c r="F864" s="3">
        <v>239.49</v>
      </c>
      <c r="G864" s="3">
        <f t="shared" si="13"/>
        <v>2187022.6800000002</v>
      </c>
    </row>
    <row r="865" spans="1:7" x14ac:dyDescent="0.25">
      <c r="A865" t="s">
        <v>981</v>
      </c>
      <c r="B865" t="s">
        <v>393</v>
      </c>
      <c r="C865" t="s">
        <v>413</v>
      </c>
      <c r="D865" s="1">
        <v>43844</v>
      </c>
      <c r="E865" s="2">
        <v>5012</v>
      </c>
      <c r="F865" s="10">
        <v>412.95</v>
      </c>
      <c r="G865" s="10">
        <f t="shared" si="13"/>
        <v>2069705.4</v>
      </c>
    </row>
    <row r="866" spans="1:7" x14ac:dyDescent="0.25">
      <c r="A866" t="s">
        <v>982</v>
      </c>
      <c r="B866" t="s">
        <v>399</v>
      </c>
      <c r="C866" t="s">
        <v>406</v>
      </c>
      <c r="D866" s="1">
        <v>43848</v>
      </c>
      <c r="E866" s="2">
        <v>9494</v>
      </c>
      <c r="F866" s="3">
        <v>371.24</v>
      </c>
      <c r="G866" s="3">
        <f t="shared" si="13"/>
        <v>3524552.56</v>
      </c>
    </row>
    <row r="867" spans="1:7" x14ac:dyDescent="0.25">
      <c r="A867" t="s">
        <v>983</v>
      </c>
      <c r="B867" t="s">
        <v>393</v>
      </c>
      <c r="C867" t="s">
        <v>410</v>
      </c>
      <c r="D867" s="1">
        <v>43871</v>
      </c>
      <c r="E867" s="2">
        <v>5714</v>
      </c>
      <c r="F867" s="3">
        <v>55.27</v>
      </c>
      <c r="G867" s="3">
        <f t="shared" si="13"/>
        <v>315812.78000000003</v>
      </c>
    </row>
    <row r="868" spans="1:7" x14ac:dyDescent="0.25">
      <c r="A868" t="s">
        <v>984</v>
      </c>
      <c r="B868" t="s">
        <v>400</v>
      </c>
      <c r="C868" t="s">
        <v>406</v>
      </c>
      <c r="D868" s="1">
        <v>43855</v>
      </c>
      <c r="E868" s="2">
        <v>5371</v>
      </c>
      <c r="F868" s="3">
        <v>179.82</v>
      </c>
      <c r="G868" s="3">
        <f t="shared" si="13"/>
        <v>965813.22</v>
      </c>
    </row>
    <row r="869" spans="1:7" x14ac:dyDescent="0.25">
      <c r="A869" t="s">
        <v>985</v>
      </c>
      <c r="B869" t="s">
        <v>399</v>
      </c>
      <c r="C869" t="s">
        <v>408</v>
      </c>
      <c r="D869" s="1">
        <v>43834</v>
      </c>
      <c r="E869" s="2">
        <v>8505</v>
      </c>
      <c r="F869" s="3">
        <v>107.7</v>
      </c>
      <c r="G869" s="3">
        <f t="shared" si="13"/>
        <v>915988.5</v>
      </c>
    </row>
    <row r="870" spans="1:7" x14ac:dyDescent="0.25">
      <c r="A870" t="s">
        <v>330</v>
      </c>
      <c r="B870" t="s">
        <v>399</v>
      </c>
      <c r="C870" t="s">
        <v>401</v>
      </c>
      <c r="D870" s="1">
        <v>43847</v>
      </c>
      <c r="E870" s="2">
        <v>5918</v>
      </c>
      <c r="F870" s="3">
        <v>218.69</v>
      </c>
      <c r="G870" s="3">
        <f t="shared" si="13"/>
        <v>1294207.42</v>
      </c>
    </row>
    <row r="871" spans="1:7" x14ac:dyDescent="0.25">
      <c r="A871" t="s">
        <v>986</v>
      </c>
      <c r="B871" t="s">
        <v>394</v>
      </c>
      <c r="C871" t="s">
        <v>463</v>
      </c>
      <c r="D871" s="1">
        <v>43858</v>
      </c>
      <c r="E871" s="2">
        <v>9655</v>
      </c>
      <c r="F871" s="3">
        <v>312.27999999999997</v>
      </c>
      <c r="G871" s="3">
        <f t="shared" si="13"/>
        <v>3015063.4</v>
      </c>
    </row>
    <row r="872" spans="1:7" x14ac:dyDescent="0.25">
      <c r="A872" t="s">
        <v>987</v>
      </c>
      <c r="B872" t="s">
        <v>400</v>
      </c>
      <c r="C872" t="s">
        <v>413</v>
      </c>
      <c r="D872" s="1">
        <v>43868</v>
      </c>
      <c r="E872" s="2">
        <v>7375</v>
      </c>
      <c r="F872" s="10">
        <v>321.01</v>
      </c>
      <c r="G872" s="10">
        <f t="shared" si="13"/>
        <v>2367448.75</v>
      </c>
    </row>
    <row r="873" spans="1:7" x14ac:dyDescent="0.25">
      <c r="A873" t="s">
        <v>988</v>
      </c>
      <c r="B873" t="s">
        <v>400</v>
      </c>
      <c r="C873" t="s">
        <v>401</v>
      </c>
      <c r="D873" s="1">
        <v>43832</v>
      </c>
      <c r="E873" s="2">
        <v>9932</v>
      </c>
      <c r="F873" s="3">
        <v>198.15</v>
      </c>
      <c r="G873" s="3">
        <f t="shared" si="13"/>
        <v>1968025.8</v>
      </c>
    </row>
    <row r="874" spans="1:7" x14ac:dyDescent="0.25">
      <c r="A874" t="s">
        <v>361</v>
      </c>
      <c r="B874" t="s">
        <v>397</v>
      </c>
      <c r="C874" t="s">
        <v>463</v>
      </c>
      <c r="D874" s="1">
        <v>43865</v>
      </c>
      <c r="E874" s="2">
        <v>5034</v>
      </c>
      <c r="F874" s="3">
        <v>470.51</v>
      </c>
      <c r="G874" s="3">
        <f t="shared" si="13"/>
        <v>2368547.34</v>
      </c>
    </row>
    <row r="875" spans="1:7" x14ac:dyDescent="0.25">
      <c r="A875" t="s">
        <v>213</v>
      </c>
      <c r="B875" t="s">
        <v>398</v>
      </c>
      <c r="C875" t="s">
        <v>410</v>
      </c>
      <c r="D875" s="1">
        <v>43885</v>
      </c>
      <c r="E875" s="2">
        <v>4094</v>
      </c>
      <c r="F875" s="3">
        <v>226.88</v>
      </c>
      <c r="G875" s="3">
        <f t="shared" si="13"/>
        <v>928846.72</v>
      </c>
    </row>
    <row r="876" spans="1:7" x14ac:dyDescent="0.25">
      <c r="A876" t="s">
        <v>70</v>
      </c>
      <c r="B876" t="s">
        <v>399</v>
      </c>
      <c r="C876" t="s">
        <v>410</v>
      </c>
      <c r="D876" s="1">
        <v>43881</v>
      </c>
      <c r="E876" s="2">
        <v>7225</v>
      </c>
      <c r="F876" s="3">
        <v>480.19</v>
      </c>
      <c r="G876" s="3">
        <f t="shared" si="13"/>
        <v>3469372.75</v>
      </c>
    </row>
    <row r="877" spans="1:7" x14ac:dyDescent="0.25">
      <c r="A877" t="s">
        <v>989</v>
      </c>
      <c r="B877" t="s">
        <v>399</v>
      </c>
      <c r="C877" t="s">
        <v>410</v>
      </c>
      <c r="D877" s="1">
        <v>43849</v>
      </c>
      <c r="E877" s="2">
        <v>6822</v>
      </c>
      <c r="F877" s="3">
        <v>196.88</v>
      </c>
      <c r="G877" s="3">
        <f t="shared" si="13"/>
        <v>1343115.3599999999</v>
      </c>
    </row>
    <row r="878" spans="1:7" x14ac:dyDescent="0.25">
      <c r="A878" t="s">
        <v>990</v>
      </c>
      <c r="B878" t="s">
        <v>400</v>
      </c>
      <c r="C878" t="s">
        <v>401</v>
      </c>
      <c r="D878" s="1">
        <v>43871</v>
      </c>
      <c r="E878" s="2">
        <v>8804</v>
      </c>
      <c r="F878" s="3">
        <v>134.56</v>
      </c>
      <c r="G878" s="3">
        <f t="shared" si="13"/>
        <v>1184666.24</v>
      </c>
    </row>
    <row r="879" spans="1:7" x14ac:dyDescent="0.25">
      <c r="A879" t="s">
        <v>991</v>
      </c>
      <c r="B879" t="s">
        <v>393</v>
      </c>
      <c r="C879" t="s">
        <v>408</v>
      </c>
      <c r="D879" s="1">
        <v>43885</v>
      </c>
      <c r="E879" s="2">
        <v>6270</v>
      </c>
      <c r="F879" s="3">
        <v>478.17</v>
      </c>
      <c r="G879" s="3">
        <f t="shared" si="13"/>
        <v>2998125.9</v>
      </c>
    </row>
    <row r="880" spans="1:7" x14ac:dyDescent="0.25">
      <c r="A880" t="s">
        <v>280</v>
      </c>
      <c r="B880" t="s">
        <v>398</v>
      </c>
      <c r="C880" t="s">
        <v>407</v>
      </c>
      <c r="D880" s="1">
        <v>43838</v>
      </c>
      <c r="E880" s="2">
        <v>2816</v>
      </c>
      <c r="F880" s="3">
        <v>477.22</v>
      </c>
      <c r="G880" s="3">
        <f t="shared" si="13"/>
        <v>1343851.52</v>
      </c>
    </row>
    <row r="881" spans="1:7" x14ac:dyDescent="0.25">
      <c r="A881" t="s">
        <v>992</v>
      </c>
      <c r="B881" t="s">
        <v>397</v>
      </c>
      <c r="C881" t="s">
        <v>406</v>
      </c>
      <c r="D881" s="1">
        <v>43887</v>
      </c>
      <c r="E881" s="2">
        <v>3213</v>
      </c>
      <c r="F881" s="3">
        <v>418.55</v>
      </c>
      <c r="G881" s="3">
        <f t="shared" si="13"/>
        <v>1344801.1500000001</v>
      </c>
    </row>
    <row r="882" spans="1:7" x14ac:dyDescent="0.25">
      <c r="A882" t="s">
        <v>993</v>
      </c>
      <c r="B882" t="s">
        <v>397</v>
      </c>
      <c r="C882" t="s">
        <v>408</v>
      </c>
      <c r="D882" s="1">
        <v>43888</v>
      </c>
      <c r="E882" s="2">
        <v>3802</v>
      </c>
      <c r="F882" s="3">
        <v>281.02</v>
      </c>
      <c r="G882" s="3">
        <f t="shared" si="13"/>
        <v>1068438.04</v>
      </c>
    </row>
    <row r="883" spans="1:7" x14ac:dyDescent="0.25">
      <c r="A883" t="s">
        <v>994</v>
      </c>
      <c r="B883" t="s">
        <v>400</v>
      </c>
      <c r="C883" t="s">
        <v>412</v>
      </c>
      <c r="D883" s="1">
        <v>43863</v>
      </c>
      <c r="E883" s="2">
        <v>3932</v>
      </c>
      <c r="F883" s="3">
        <v>81.16</v>
      </c>
      <c r="G883" s="3">
        <f t="shared" si="13"/>
        <v>319121.12</v>
      </c>
    </row>
    <row r="884" spans="1:7" x14ac:dyDescent="0.25">
      <c r="A884" t="s">
        <v>995</v>
      </c>
      <c r="B884" t="s">
        <v>399</v>
      </c>
      <c r="C884" t="s">
        <v>406</v>
      </c>
      <c r="D884" s="1">
        <v>43861</v>
      </c>
      <c r="E884" s="2">
        <v>4000</v>
      </c>
      <c r="F884" s="3">
        <v>355.61</v>
      </c>
      <c r="G884" s="3">
        <f t="shared" si="13"/>
        <v>1422440</v>
      </c>
    </row>
    <row r="885" spans="1:7" x14ac:dyDescent="0.25">
      <c r="A885" t="s">
        <v>996</v>
      </c>
      <c r="B885" t="s">
        <v>399</v>
      </c>
      <c r="C885" t="s">
        <v>412</v>
      </c>
      <c r="D885" s="1">
        <v>43866</v>
      </c>
      <c r="E885" s="2">
        <v>6964</v>
      </c>
      <c r="F885" s="3">
        <v>394.17</v>
      </c>
      <c r="G885" s="3">
        <f t="shared" si="13"/>
        <v>2744999.88</v>
      </c>
    </row>
    <row r="886" spans="1:7" x14ac:dyDescent="0.25">
      <c r="A886" t="s">
        <v>997</v>
      </c>
      <c r="B886" t="s">
        <v>397</v>
      </c>
      <c r="C886" t="s">
        <v>413</v>
      </c>
      <c r="D886" s="1">
        <v>43841</v>
      </c>
      <c r="E886" s="2">
        <v>3939</v>
      </c>
      <c r="F886" s="10">
        <v>137.31</v>
      </c>
      <c r="G886" s="10">
        <f t="shared" si="13"/>
        <v>540864.09</v>
      </c>
    </row>
    <row r="887" spans="1:7" x14ac:dyDescent="0.25">
      <c r="A887" t="s">
        <v>998</v>
      </c>
      <c r="B887" t="s">
        <v>398</v>
      </c>
      <c r="C887" t="s">
        <v>401</v>
      </c>
      <c r="D887" s="1">
        <v>43852</v>
      </c>
      <c r="E887" s="2">
        <v>9586</v>
      </c>
      <c r="F887" s="3">
        <v>411.69</v>
      </c>
      <c r="G887" s="3">
        <f t="shared" si="13"/>
        <v>3946460.34</v>
      </c>
    </row>
    <row r="888" spans="1:7" x14ac:dyDescent="0.25">
      <c r="A888" t="s">
        <v>999</v>
      </c>
      <c r="B888" t="s">
        <v>394</v>
      </c>
      <c r="C888" t="s">
        <v>407</v>
      </c>
      <c r="D888" s="1">
        <v>43853</v>
      </c>
      <c r="E888" s="2">
        <v>2001</v>
      </c>
      <c r="F888" s="3">
        <v>447.63</v>
      </c>
      <c r="G888" s="3">
        <f t="shared" si="13"/>
        <v>895707.63</v>
      </c>
    </row>
    <row r="889" spans="1:7" x14ac:dyDescent="0.25">
      <c r="A889" t="s">
        <v>296</v>
      </c>
      <c r="B889" t="s">
        <v>398</v>
      </c>
      <c r="C889" t="s">
        <v>406</v>
      </c>
      <c r="D889" s="1">
        <v>43860</v>
      </c>
      <c r="E889" s="2">
        <v>6568</v>
      </c>
      <c r="F889" s="3">
        <v>174.51</v>
      </c>
      <c r="G889" s="3">
        <f t="shared" si="13"/>
        <v>1146181.68</v>
      </c>
    </row>
    <row r="890" spans="1:7" x14ac:dyDescent="0.25">
      <c r="A890" t="s">
        <v>1000</v>
      </c>
      <c r="B890" t="s">
        <v>400</v>
      </c>
      <c r="C890" t="s">
        <v>411</v>
      </c>
      <c r="D890" s="1">
        <v>43851</v>
      </c>
      <c r="E890" s="2">
        <v>1023</v>
      </c>
      <c r="F890" s="3">
        <v>454.91</v>
      </c>
      <c r="G890" s="3">
        <f t="shared" si="13"/>
        <v>465372.93000000005</v>
      </c>
    </row>
    <row r="891" spans="1:7" x14ac:dyDescent="0.25">
      <c r="A891" t="s">
        <v>239</v>
      </c>
      <c r="B891" t="s">
        <v>394</v>
      </c>
      <c r="C891" t="s">
        <v>463</v>
      </c>
      <c r="D891" s="1">
        <v>43831</v>
      </c>
      <c r="E891" s="2">
        <v>4423</v>
      </c>
      <c r="F891" s="3">
        <v>282.47000000000003</v>
      </c>
      <c r="G891" s="3">
        <f t="shared" si="13"/>
        <v>1249364.81</v>
      </c>
    </row>
    <row r="892" spans="1:7" x14ac:dyDescent="0.25">
      <c r="A892" t="s">
        <v>378</v>
      </c>
      <c r="B892" t="s">
        <v>398</v>
      </c>
      <c r="C892" t="s">
        <v>410</v>
      </c>
      <c r="D892" s="1">
        <v>43872</v>
      </c>
      <c r="E892" s="2">
        <v>4439</v>
      </c>
      <c r="F892" s="3">
        <v>432.96</v>
      </c>
      <c r="G892" s="3">
        <f t="shared" si="13"/>
        <v>1921909.44</v>
      </c>
    </row>
    <row r="893" spans="1:7" x14ac:dyDescent="0.25">
      <c r="A893" t="s">
        <v>1001</v>
      </c>
      <c r="B893" t="s">
        <v>393</v>
      </c>
      <c r="C893" t="s">
        <v>463</v>
      </c>
      <c r="D893" s="1">
        <v>43860</v>
      </c>
      <c r="E893" s="2">
        <v>7396</v>
      </c>
      <c r="F893" s="3">
        <v>465.12</v>
      </c>
      <c r="G893" s="3">
        <f t="shared" si="13"/>
        <v>3440027.52</v>
      </c>
    </row>
    <row r="894" spans="1:7" x14ac:dyDescent="0.25">
      <c r="A894" t="s">
        <v>1002</v>
      </c>
      <c r="B894" t="s">
        <v>393</v>
      </c>
      <c r="C894" t="s">
        <v>408</v>
      </c>
      <c r="D894" s="1">
        <v>43853</v>
      </c>
      <c r="E894" s="2">
        <v>3291</v>
      </c>
      <c r="F894" s="3">
        <v>406.56</v>
      </c>
      <c r="G894" s="3">
        <f t="shared" si="13"/>
        <v>1337988.96</v>
      </c>
    </row>
    <row r="895" spans="1:7" x14ac:dyDescent="0.25">
      <c r="A895" t="s">
        <v>1003</v>
      </c>
      <c r="B895" t="s">
        <v>393</v>
      </c>
      <c r="C895" t="s">
        <v>412</v>
      </c>
      <c r="D895" s="1">
        <v>43838</v>
      </c>
      <c r="E895" s="2">
        <v>3168</v>
      </c>
      <c r="F895" s="3">
        <v>266.77</v>
      </c>
      <c r="G895" s="3">
        <f t="shared" si="13"/>
        <v>845127.36</v>
      </c>
    </row>
    <row r="896" spans="1:7" x14ac:dyDescent="0.25">
      <c r="A896" t="s">
        <v>38</v>
      </c>
      <c r="B896" t="s">
        <v>395</v>
      </c>
      <c r="C896" t="s">
        <v>413</v>
      </c>
      <c r="D896" s="1">
        <v>43837</v>
      </c>
      <c r="E896" s="2">
        <v>203</v>
      </c>
      <c r="F896" s="10">
        <v>108.41</v>
      </c>
      <c r="G896" s="10">
        <f t="shared" si="13"/>
        <v>22007.23</v>
      </c>
    </row>
    <row r="897" spans="1:7" x14ac:dyDescent="0.25">
      <c r="A897" t="s">
        <v>323</v>
      </c>
      <c r="B897" t="s">
        <v>394</v>
      </c>
      <c r="C897" t="s">
        <v>463</v>
      </c>
      <c r="D897" s="1">
        <v>43833</v>
      </c>
      <c r="E897" s="2">
        <v>187</v>
      </c>
      <c r="F897" s="3">
        <v>303.81</v>
      </c>
      <c r="G897" s="3">
        <f t="shared" si="13"/>
        <v>56812.47</v>
      </c>
    </row>
    <row r="898" spans="1:7" x14ac:dyDescent="0.25">
      <c r="A898" t="s">
        <v>1004</v>
      </c>
      <c r="B898" t="s">
        <v>399</v>
      </c>
      <c r="C898" t="s">
        <v>406</v>
      </c>
      <c r="D898" s="1">
        <v>43879</v>
      </c>
      <c r="E898" s="2">
        <v>581</v>
      </c>
      <c r="F898" s="3">
        <v>197.03</v>
      </c>
      <c r="G898" s="3">
        <f t="shared" si="13"/>
        <v>114474.43000000001</v>
      </c>
    </row>
    <row r="899" spans="1:7" x14ac:dyDescent="0.25">
      <c r="A899" t="s">
        <v>304</v>
      </c>
      <c r="B899" t="s">
        <v>393</v>
      </c>
      <c r="C899" t="s">
        <v>411</v>
      </c>
      <c r="D899" s="1">
        <v>43886</v>
      </c>
      <c r="E899" s="2">
        <v>888</v>
      </c>
      <c r="F899" s="3">
        <v>103.06</v>
      </c>
      <c r="G899" s="3">
        <f t="shared" ref="G899:G947" si="14">E899*F899</f>
        <v>91517.28</v>
      </c>
    </row>
    <row r="900" spans="1:7" x14ac:dyDescent="0.25">
      <c r="A900" t="s">
        <v>375</v>
      </c>
      <c r="B900" t="s">
        <v>397</v>
      </c>
      <c r="C900" t="s">
        <v>463</v>
      </c>
      <c r="D900" s="1">
        <v>43862</v>
      </c>
      <c r="E900" s="2">
        <v>1537</v>
      </c>
      <c r="F900" s="3">
        <v>445.35</v>
      </c>
      <c r="G900" s="3">
        <f t="shared" si="14"/>
        <v>684502.95000000007</v>
      </c>
    </row>
    <row r="901" spans="1:7" x14ac:dyDescent="0.25">
      <c r="A901" t="s">
        <v>53</v>
      </c>
      <c r="B901" t="s">
        <v>394</v>
      </c>
      <c r="C901" t="s">
        <v>412</v>
      </c>
      <c r="D901" s="1">
        <v>43874</v>
      </c>
      <c r="E901" s="2">
        <v>5991</v>
      </c>
      <c r="F901" s="3">
        <v>160.84</v>
      </c>
      <c r="G901" s="3">
        <f t="shared" si="14"/>
        <v>963592.44000000006</v>
      </c>
    </row>
    <row r="902" spans="1:7" x14ac:dyDescent="0.25">
      <c r="A902" t="s">
        <v>1005</v>
      </c>
      <c r="B902" t="s">
        <v>399</v>
      </c>
      <c r="C902" t="s">
        <v>406</v>
      </c>
      <c r="D902" s="1">
        <v>43863</v>
      </c>
      <c r="E902" s="2">
        <v>9947</v>
      </c>
      <c r="F902" s="3">
        <v>472.34</v>
      </c>
      <c r="G902" s="3">
        <f t="shared" si="14"/>
        <v>4698365.9799999995</v>
      </c>
    </row>
    <row r="903" spans="1:7" x14ac:dyDescent="0.25">
      <c r="A903" t="s">
        <v>216</v>
      </c>
      <c r="B903" t="s">
        <v>396</v>
      </c>
      <c r="C903" t="s">
        <v>463</v>
      </c>
      <c r="D903" s="1">
        <v>43832</v>
      </c>
      <c r="E903" s="2">
        <v>1005</v>
      </c>
      <c r="F903" s="3">
        <v>160.93</v>
      </c>
      <c r="G903" s="3">
        <f t="shared" si="14"/>
        <v>161734.65</v>
      </c>
    </row>
    <row r="904" spans="1:7" x14ac:dyDescent="0.25">
      <c r="A904" t="s">
        <v>389</v>
      </c>
      <c r="B904" t="s">
        <v>398</v>
      </c>
      <c r="C904" t="s">
        <v>410</v>
      </c>
      <c r="D904" s="1">
        <v>43849</v>
      </c>
      <c r="E904" s="2">
        <v>7801</v>
      </c>
      <c r="F904" s="3">
        <v>389.53</v>
      </c>
      <c r="G904" s="3">
        <f t="shared" si="14"/>
        <v>3038723.53</v>
      </c>
    </row>
    <row r="905" spans="1:7" x14ac:dyDescent="0.25">
      <c r="A905" t="s">
        <v>134</v>
      </c>
      <c r="B905" t="s">
        <v>393</v>
      </c>
      <c r="C905" t="s">
        <v>413</v>
      </c>
      <c r="D905" s="1">
        <v>43876</v>
      </c>
      <c r="E905" s="2">
        <v>4484</v>
      </c>
      <c r="F905" s="10">
        <v>234.26</v>
      </c>
      <c r="G905" s="10">
        <f t="shared" si="14"/>
        <v>1050421.8399999999</v>
      </c>
    </row>
    <row r="906" spans="1:7" x14ac:dyDescent="0.25">
      <c r="A906" t="s">
        <v>294</v>
      </c>
      <c r="B906" t="s">
        <v>398</v>
      </c>
      <c r="C906" t="s">
        <v>463</v>
      </c>
      <c r="D906" s="1">
        <v>43872</v>
      </c>
      <c r="E906" s="2">
        <v>7958</v>
      </c>
      <c r="F906" s="3">
        <v>224.4</v>
      </c>
      <c r="G906" s="3">
        <f t="shared" si="14"/>
        <v>1785775.2</v>
      </c>
    </row>
    <row r="907" spans="1:7" x14ac:dyDescent="0.25">
      <c r="A907" t="s">
        <v>1006</v>
      </c>
      <c r="B907" t="s">
        <v>397</v>
      </c>
      <c r="C907" t="s">
        <v>412</v>
      </c>
      <c r="D907" s="1">
        <v>43860</v>
      </c>
      <c r="E907" s="2">
        <v>9147</v>
      </c>
      <c r="F907" s="3">
        <v>350.73</v>
      </c>
      <c r="G907" s="3">
        <f t="shared" si="14"/>
        <v>3208127.31</v>
      </c>
    </row>
    <row r="908" spans="1:7" x14ac:dyDescent="0.25">
      <c r="A908" t="s">
        <v>285</v>
      </c>
      <c r="B908" t="s">
        <v>396</v>
      </c>
      <c r="C908" t="s">
        <v>407</v>
      </c>
      <c r="D908" s="1">
        <v>43836</v>
      </c>
      <c r="E908" s="2">
        <v>4330</v>
      </c>
      <c r="F908" s="3">
        <v>420.78</v>
      </c>
      <c r="G908" s="3">
        <f t="shared" si="14"/>
        <v>1821977.4</v>
      </c>
    </row>
    <row r="909" spans="1:7" x14ac:dyDescent="0.25">
      <c r="A909" t="s">
        <v>1007</v>
      </c>
      <c r="B909" t="s">
        <v>400</v>
      </c>
      <c r="C909" t="s">
        <v>406</v>
      </c>
      <c r="D909" s="1">
        <v>43874</v>
      </c>
      <c r="E909" s="2">
        <v>6312</v>
      </c>
      <c r="F909" s="3">
        <v>281.08</v>
      </c>
      <c r="G909" s="3">
        <f t="shared" si="14"/>
        <v>1774176.96</v>
      </c>
    </row>
    <row r="910" spans="1:7" x14ac:dyDescent="0.25">
      <c r="A910" t="s">
        <v>1008</v>
      </c>
      <c r="B910" t="s">
        <v>395</v>
      </c>
      <c r="C910" t="s">
        <v>406</v>
      </c>
      <c r="D910" s="1">
        <v>43888</v>
      </c>
      <c r="E910" s="2">
        <v>5055</v>
      </c>
      <c r="F910" s="3">
        <v>227.19</v>
      </c>
      <c r="G910" s="3">
        <f t="shared" si="14"/>
        <v>1148445.45</v>
      </c>
    </row>
    <row r="911" spans="1:7" x14ac:dyDescent="0.25">
      <c r="A911" t="s">
        <v>1009</v>
      </c>
      <c r="B911" t="s">
        <v>397</v>
      </c>
      <c r="C911" t="s">
        <v>413</v>
      </c>
      <c r="D911" s="1">
        <v>43850</v>
      </c>
      <c r="E911" s="2">
        <v>9507</v>
      </c>
      <c r="F911" s="10">
        <v>465.7</v>
      </c>
      <c r="G911" s="10">
        <f t="shared" si="14"/>
        <v>4427409.8999999994</v>
      </c>
    </row>
    <row r="912" spans="1:7" x14ac:dyDescent="0.25">
      <c r="A912" t="s">
        <v>78</v>
      </c>
      <c r="B912" t="s">
        <v>395</v>
      </c>
      <c r="C912" t="s">
        <v>410</v>
      </c>
      <c r="D912" s="1">
        <v>43880</v>
      </c>
      <c r="E912" s="2">
        <v>5279</v>
      </c>
      <c r="F912" s="3">
        <v>78.89</v>
      </c>
      <c r="G912" s="3">
        <f t="shared" si="14"/>
        <v>416460.31</v>
      </c>
    </row>
    <row r="913" spans="1:7" x14ac:dyDescent="0.25">
      <c r="A913" t="s">
        <v>193</v>
      </c>
      <c r="B913" t="s">
        <v>396</v>
      </c>
      <c r="C913" t="s">
        <v>411</v>
      </c>
      <c r="D913" s="1">
        <v>43879</v>
      </c>
      <c r="E913" s="2">
        <v>2598</v>
      </c>
      <c r="F913" s="3">
        <v>353.14</v>
      </c>
      <c r="G913" s="3">
        <f t="shared" si="14"/>
        <v>917457.72</v>
      </c>
    </row>
    <row r="914" spans="1:7" x14ac:dyDescent="0.25">
      <c r="A914" t="s">
        <v>283</v>
      </c>
      <c r="B914" t="s">
        <v>396</v>
      </c>
      <c r="C914" t="s">
        <v>401</v>
      </c>
      <c r="D914" s="1">
        <v>43872</v>
      </c>
      <c r="E914" s="2">
        <v>2196</v>
      </c>
      <c r="F914" s="3">
        <v>214.13</v>
      </c>
      <c r="G914" s="3">
        <f t="shared" si="14"/>
        <v>470229.48</v>
      </c>
    </row>
    <row r="915" spans="1:7" x14ac:dyDescent="0.25">
      <c r="A915" t="s">
        <v>348</v>
      </c>
      <c r="B915" t="s">
        <v>399</v>
      </c>
      <c r="C915" t="s">
        <v>463</v>
      </c>
      <c r="D915" s="1">
        <v>43881</v>
      </c>
      <c r="E915" s="2">
        <v>3339</v>
      </c>
      <c r="F915" s="3">
        <v>104.55</v>
      </c>
      <c r="G915" s="3">
        <f t="shared" si="14"/>
        <v>349092.45</v>
      </c>
    </row>
    <row r="916" spans="1:7" x14ac:dyDescent="0.25">
      <c r="A916" t="s">
        <v>1010</v>
      </c>
      <c r="B916" t="s">
        <v>395</v>
      </c>
      <c r="C916" t="s">
        <v>410</v>
      </c>
      <c r="D916" s="1">
        <v>43890</v>
      </c>
      <c r="E916" s="2">
        <v>8591</v>
      </c>
      <c r="F916" s="3">
        <v>430.91</v>
      </c>
      <c r="G916" s="3">
        <f t="shared" si="14"/>
        <v>3701947.81</v>
      </c>
    </row>
    <row r="917" spans="1:7" x14ac:dyDescent="0.25">
      <c r="A917" t="s">
        <v>131</v>
      </c>
      <c r="B917" t="s">
        <v>393</v>
      </c>
      <c r="C917" t="s">
        <v>406</v>
      </c>
      <c r="D917" s="1">
        <v>43839</v>
      </c>
      <c r="E917" s="2">
        <v>2589</v>
      </c>
      <c r="F917" s="3">
        <v>112.48</v>
      </c>
      <c r="G917" s="3">
        <f t="shared" si="14"/>
        <v>291210.72000000003</v>
      </c>
    </row>
    <row r="918" spans="1:7" x14ac:dyDescent="0.25">
      <c r="A918" t="s">
        <v>345</v>
      </c>
      <c r="B918" t="s">
        <v>399</v>
      </c>
      <c r="C918" t="s">
        <v>407</v>
      </c>
      <c r="D918" s="1">
        <v>43840</v>
      </c>
      <c r="E918" s="2">
        <v>5735</v>
      </c>
      <c r="F918" s="3">
        <v>422.43</v>
      </c>
      <c r="G918" s="3">
        <f t="shared" si="14"/>
        <v>2422636.0499999998</v>
      </c>
    </row>
    <row r="919" spans="1:7" x14ac:dyDescent="0.25">
      <c r="A919" t="s">
        <v>1011</v>
      </c>
      <c r="B919" t="s">
        <v>394</v>
      </c>
      <c r="C919" t="s">
        <v>411</v>
      </c>
      <c r="D919" s="1">
        <v>43838</v>
      </c>
      <c r="E919" s="2">
        <v>3370</v>
      </c>
      <c r="F919" s="3">
        <v>405</v>
      </c>
      <c r="G919" s="3">
        <f t="shared" si="14"/>
        <v>1364850</v>
      </c>
    </row>
    <row r="920" spans="1:7" x14ac:dyDescent="0.25">
      <c r="A920" t="s">
        <v>1012</v>
      </c>
      <c r="B920" t="s">
        <v>393</v>
      </c>
      <c r="C920" t="s">
        <v>406</v>
      </c>
      <c r="D920" s="1">
        <v>43875</v>
      </c>
      <c r="E920" s="2">
        <v>3461</v>
      </c>
      <c r="F920" s="3">
        <v>350.19</v>
      </c>
      <c r="G920" s="3">
        <f t="shared" si="14"/>
        <v>1212007.5900000001</v>
      </c>
    </row>
    <row r="921" spans="1:7" x14ac:dyDescent="0.25">
      <c r="A921" t="s">
        <v>1013</v>
      </c>
      <c r="B921" t="s">
        <v>400</v>
      </c>
      <c r="C921" t="s">
        <v>401</v>
      </c>
      <c r="D921" s="1">
        <v>43855</v>
      </c>
      <c r="E921" s="2">
        <v>7722</v>
      </c>
      <c r="F921" s="3">
        <v>217.57</v>
      </c>
      <c r="G921" s="3">
        <f t="shared" si="14"/>
        <v>1680075.54</v>
      </c>
    </row>
    <row r="922" spans="1:7" x14ac:dyDescent="0.25">
      <c r="A922" t="s">
        <v>1014</v>
      </c>
      <c r="B922" t="s">
        <v>395</v>
      </c>
      <c r="C922" t="s">
        <v>401</v>
      </c>
      <c r="D922" s="1">
        <v>43868</v>
      </c>
      <c r="E922" s="2">
        <v>5501</v>
      </c>
      <c r="F922" s="3">
        <v>312.87</v>
      </c>
      <c r="G922" s="3">
        <f t="shared" si="14"/>
        <v>1721097.87</v>
      </c>
    </row>
    <row r="923" spans="1:7" x14ac:dyDescent="0.25">
      <c r="A923" t="s">
        <v>261</v>
      </c>
      <c r="B923" t="s">
        <v>398</v>
      </c>
      <c r="C923" t="s">
        <v>412</v>
      </c>
      <c r="D923" s="1">
        <v>43851</v>
      </c>
      <c r="E923" s="2">
        <v>4260</v>
      </c>
      <c r="F923" s="3">
        <v>54.09</v>
      </c>
      <c r="G923" s="3">
        <f t="shared" si="14"/>
        <v>230423.40000000002</v>
      </c>
    </row>
    <row r="924" spans="1:7" x14ac:dyDescent="0.25">
      <c r="A924" t="s">
        <v>1015</v>
      </c>
      <c r="B924" t="s">
        <v>396</v>
      </c>
      <c r="C924" t="s">
        <v>412</v>
      </c>
      <c r="D924" s="1">
        <v>43885</v>
      </c>
      <c r="E924" s="2">
        <v>9463</v>
      </c>
      <c r="F924" s="3">
        <v>359.6</v>
      </c>
      <c r="G924" s="3">
        <f t="shared" si="14"/>
        <v>3402894.8000000003</v>
      </c>
    </row>
    <row r="925" spans="1:7" x14ac:dyDescent="0.25">
      <c r="A925" t="s">
        <v>1016</v>
      </c>
      <c r="B925" t="s">
        <v>398</v>
      </c>
      <c r="C925" t="s">
        <v>408</v>
      </c>
      <c r="D925" s="1">
        <v>43836</v>
      </c>
      <c r="E925" s="2">
        <v>9296</v>
      </c>
      <c r="F925" s="3">
        <v>305.42</v>
      </c>
      <c r="G925" s="3">
        <f t="shared" si="14"/>
        <v>2839184.3200000003</v>
      </c>
    </row>
    <row r="926" spans="1:7" x14ac:dyDescent="0.25">
      <c r="A926" t="s">
        <v>1017</v>
      </c>
      <c r="B926" t="s">
        <v>393</v>
      </c>
      <c r="C926" t="s">
        <v>401</v>
      </c>
      <c r="D926" s="1">
        <v>43841</v>
      </c>
      <c r="E926" s="2">
        <v>9419</v>
      </c>
      <c r="F926" s="3">
        <v>251.79</v>
      </c>
      <c r="G926" s="3">
        <f t="shared" si="14"/>
        <v>2371610.0099999998</v>
      </c>
    </row>
    <row r="927" spans="1:7" x14ac:dyDescent="0.25">
      <c r="A927" t="s">
        <v>1018</v>
      </c>
      <c r="B927" t="s">
        <v>393</v>
      </c>
      <c r="C927" t="s">
        <v>412</v>
      </c>
      <c r="D927" s="1">
        <v>43884</v>
      </c>
      <c r="E927" s="2">
        <v>9540</v>
      </c>
      <c r="F927" s="3">
        <v>105.5</v>
      </c>
      <c r="G927" s="3">
        <f t="shared" si="14"/>
        <v>1006470</v>
      </c>
    </row>
    <row r="928" spans="1:7" x14ac:dyDescent="0.25">
      <c r="A928" t="s">
        <v>1019</v>
      </c>
      <c r="B928" t="s">
        <v>396</v>
      </c>
      <c r="C928" t="s">
        <v>412</v>
      </c>
      <c r="D928" s="1">
        <v>43885</v>
      </c>
      <c r="E928" s="2">
        <v>5494</v>
      </c>
      <c r="F928" s="3">
        <v>96.36</v>
      </c>
      <c r="G928" s="3">
        <f t="shared" si="14"/>
        <v>529401.84</v>
      </c>
    </row>
    <row r="929" spans="1:7" x14ac:dyDescent="0.25">
      <c r="A929" t="s">
        <v>1020</v>
      </c>
      <c r="B929" t="s">
        <v>393</v>
      </c>
      <c r="C929" t="s">
        <v>412</v>
      </c>
      <c r="D929" s="1">
        <v>43852</v>
      </c>
      <c r="E929" s="2">
        <v>9644</v>
      </c>
      <c r="F929" s="3">
        <v>176.92</v>
      </c>
      <c r="G929" s="3">
        <f t="shared" si="14"/>
        <v>1706216.48</v>
      </c>
    </row>
    <row r="930" spans="1:7" x14ac:dyDescent="0.25">
      <c r="A930" t="s">
        <v>1021</v>
      </c>
      <c r="B930" t="s">
        <v>396</v>
      </c>
      <c r="C930" t="s">
        <v>411</v>
      </c>
      <c r="D930" s="1">
        <v>43859</v>
      </c>
      <c r="E930" s="2">
        <v>969</v>
      </c>
      <c r="F930" s="3">
        <v>271.77</v>
      </c>
      <c r="G930" s="3">
        <f t="shared" si="14"/>
        <v>263345.13</v>
      </c>
    </row>
    <row r="931" spans="1:7" x14ac:dyDescent="0.25">
      <c r="A931" t="s">
        <v>328</v>
      </c>
      <c r="B931" t="s">
        <v>399</v>
      </c>
      <c r="C931" t="s">
        <v>407</v>
      </c>
      <c r="D931" s="1">
        <v>43876</v>
      </c>
      <c r="E931" s="2">
        <v>6113</v>
      </c>
      <c r="F931" s="3">
        <v>85.46</v>
      </c>
      <c r="G931" s="3">
        <f t="shared" si="14"/>
        <v>522416.98</v>
      </c>
    </row>
    <row r="932" spans="1:7" x14ac:dyDescent="0.25">
      <c r="A932" t="s">
        <v>1022</v>
      </c>
      <c r="B932" t="s">
        <v>396</v>
      </c>
      <c r="C932" t="s">
        <v>463</v>
      </c>
      <c r="D932" s="1">
        <v>43872</v>
      </c>
      <c r="E932" s="2">
        <v>9080</v>
      </c>
      <c r="F932" s="3">
        <v>299.8</v>
      </c>
      <c r="G932" s="3">
        <f t="shared" si="14"/>
        <v>2722184</v>
      </c>
    </row>
    <row r="933" spans="1:7" x14ac:dyDescent="0.25">
      <c r="A933" t="s">
        <v>173</v>
      </c>
      <c r="B933" t="s">
        <v>398</v>
      </c>
      <c r="C933" t="s">
        <v>413</v>
      </c>
      <c r="D933" s="1">
        <v>43831</v>
      </c>
      <c r="E933" s="2">
        <v>3458</v>
      </c>
      <c r="F933" s="10">
        <v>310</v>
      </c>
      <c r="G933" s="10">
        <f t="shared" si="14"/>
        <v>1071980</v>
      </c>
    </row>
    <row r="934" spans="1:7" x14ac:dyDescent="0.25">
      <c r="A934" t="s">
        <v>266</v>
      </c>
      <c r="B934" t="s">
        <v>396</v>
      </c>
      <c r="C934" t="s">
        <v>412</v>
      </c>
      <c r="D934" s="1">
        <v>43866</v>
      </c>
      <c r="E934" s="2">
        <v>5985</v>
      </c>
      <c r="F934" s="3">
        <v>355.25</v>
      </c>
      <c r="G934" s="3">
        <f t="shared" si="14"/>
        <v>2126171.25</v>
      </c>
    </row>
    <row r="935" spans="1:7" x14ac:dyDescent="0.25">
      <c r="A935" t="s">
        <v>252</v>
      </c>
      <c r="B935" t="s">
        <v>394</v>
      </c>
      <c r="C935" t="s">
        <v>407</v>
      </c>
      <c r="D935" s="1">
        <v>43851</v>
      </c>
      <c r="E935" s="2">
        <v>5157</v>
      </c>
      <c r="F935" s="3">
        <v>147.68</v>
      </c>
      <c r="G935" s="3">
        <f t="shared" si="14"/>
        <v>761585.76</v>
      </c>
    </row>
    <row r="936" spans="1:7" x14ac:dyDescent="0.25">
      <c r="A936" t="s">
        <v>1023</v>
      </c>
      <c r="B936" t="s">
        <v>398</v>
      </c>
      <c r="C936" t="s">
        <v>463</v>
      </c>
      <c r="D936" s="1">
        <v>43859</v>
      </c>
      <c r="E936" s="2">
        <v>3932</v>
      </c>
      <c r="F936" s="3">
        <v>181.88</v>
      </c>
      <c r="G936" s="3">
        <f t="shared" si="14"/>
        <v>715152.16</v>
      </c>
    </row>
    <row r="937" spans="1:7" x14ac:dyDescent="0.25">
      <c r="A937" t="s">
        <v>1024</v>
      </c>
      <c r="B937" t="s">
        <v>393</v>
      </c>
      <c r="C937" t="s">
        <v>410</v>
      </c>
      <c r="D937" s="1">
        <v>43834</v>
      </c>
      <c r="E937" s="2">
        <v>3402</v>
      </c>
      <c r="F937" s="3">
        <v>432.55</v>
      </c>
      <c r="G937" s="3">
        <f t="shared" si="14"/>
        <v>1471535.1</v>
      </c>
    </row>
    <row r="938" spans="1:7" x14ac:dyDescent="0.25">
      <c r="A938" t="s">
        <v>1025</v>
      </c>
      <c r="B938" t="s">
        <v>394</v>
      </c>
      <c r="C938" t="s">
        <v>407</v>
      </c>
      <c r="D938" s="1">
        <v>43878</v>
      </c>
      <c r="E938" s="2">
        <v>5582</v>
      </c>
      <c r="F938" s="3">
        <v>272.33999999999997</v>
      </c>
      <c r="G938" s="3">
        <f t="shared" si="14"/>
        <v>1520201.88</v>
      </c>
    </row>
    <row r="939" spans="1:7" x14ac:dyDescent="0.25">
      <c r="A939" t="s">
        <v>392</v>
      </c>
      <c r="B939" t="s">
        <v>394</v>
      </c>
      <c r="C939" t="s">
        <v>408</v>
      </c>
      <c r="D939" s="1">
        <v>43884</v>
      </c>
      <c r="E939" s="2">
        <v>6031</v>
      </c>
      <c r="F939" s="3">
        <v>359.61</v>
      </c>
      <c r="G939" s="3">
        <f t="shared" si="14"/>
        <v>2168807.91</v>
      </c>
    </row>
    <row r="940" spans="1:7" x14ac:dyDescent="0.25">
      <c r="A940" t="s">
        <v>352</v>
      </c>
      <c r="B940" t="s">
        <v>393</v>
      </c>
      <c r="C940" t="s">
        <v>411</v>
      </c>
      <c r="D940" s="1">
        <v>43833</v>
      </c>
      <c r="E940" s="2">
        <v>4825</v>
      </c>
      <c r="F940" s="3">
        <v>213.19</v>
      </c>
      <c r="G940" s="3">
        <f t="shared" si="14"/>
        <v>1028641.75</v>
      </c>
    </row>
    <row r="941" spans="1:7" x14ac:dyDescent="0.25">
      <c r="A941" t="s">
        <v>1026</v>
      </c>
      <c r="B941" t="s">
        <v>394</v>
      </c>
      <c r="C941" t="s">
        <v>412</v>
      </c>
      <c r="D941" s="1">
        <v>43889</v>
      </c>
      <c r="E941" s="2">
        <v>3866</v>
      </c>
      <c r="F941" s="3">
        <v>405.16</v>
      </c>
      <c r="G941" s="3">
        <f t="shared" si="14"/>
        <v>1566348.56</v>
      </c>
    </row>
    <row r="942" spans="1:7" x14ac:dyDescent="0.25">
      <c r="A942" t="s">
        <v>373</v>
      </c>
      <c r="B942" t="s">
        <v>395</v>
      </c>
      <c r="C942" t="s">
        <v>406</v>
      </c>
      <c r="D942" s="1">
        <v>43863</v>
      </c>
      <c r="E942" s="2">
        <v>1546</v>
      </c>
      <c r="F942" s="3">
        <v>474.17</v>
      </c>
      <c r="G942" s="3">
        <f t="shared" si="14"/>
        <v>733066.82000000007</v>
      </c>
    </row>
    <row r="943" spans="1:7" x14ac:dyDescent="0.25">
      <c r="A943" t="s">
        <v>1027</v>
      </c>
      <c r="B943" t="s">
        <v>394</v>
      </c>
      <c r="C943" t="s">
        <v>413</v>
      </c>
      <c r="D943" s="1">
        <v>43846</v>
      </c>
      <c r="E943" s="2">
        <v>3493</v>
      </c>
      <c r="F943" s="10">
        <v>500.27</v>
      </c>
      <c r="G943" s="10">
        <f t="shared" si="14"/>
        <v>1747443.1099999999</v>
      </c>
    </row>
    <row r="944" spans="1:7" x14ac:dyDescent="0.25">
      <c r="A944" t="s">
        <v>176</v>
      </c>
      <c r="B944" t="s">
        <v>399</v>
      </c>
      <c r="C944" t="s">
        <v>406</v>
      </c>
      <c r="D944" s="1">
        <v>43845</v>
      </c>
      <c r="E944" s="2">
        <v>3646</v>
      </c>
      <c r="F944" s="3">
        <v>256.43</v>
      </c>
      <c r="G944" s="3">
        <f t="shared" si="14"/>
        <v>934943.78</v>
      </c>
    </row>
    <row r="945" spans="1:7" x14ac:dyDescent="0.25">
      <c r="A945" t="s">
        <v>180</v>
      </c>
      <c r="B945" t="s">
        <v>399</v>
      </c>
      <c r="C945" t="s">
        <v>463</v>
      </c>
      <c r="D945" s="1">
        <v>43844</v>
      </c>
      <c r="E945" s="2">
        <v>800</v>
      </c>
      <c r="F945" s="3">
        <v>345.62</v>
      </c>
      <c r="G945" s="3">
        <f t="shared" si="14"/>
        <v>276496</v>
      </c>
    </row>
    <row r="946" spans="1:7" x14ac:dyDescent="0.25">
      <c r="A946" t="s">
        <v>344</v>
      </c>
      <c r="B946" t="s">
        <v>397</v>
      </c>
      <c r="C946" t="s">
        <v>410</v>
      </c>
      <c r="D946" s="1">
        <v>43854</v>
      </c>
      <c r="E946" s="2">
        <v>9533</v>
      </c>
      <c r="F946" s="3">
        <v>420.48</v>
      </c>
      <c r="G946" s="3">
        <f t="shared" si="14"/>
        <v>4008435.8400000003</v>
      </c>
    </row>
    <row r="947" spans="1:7" x14ac:dyDescent="0.25">
      <c r="A947" t="s">
        <v>385</v>
      </c>
      <c r="B947" t="s">
        <v>395</v>
      </c>
      <c r="C947" t="s">
        <v>412</v>
      </c>
      <c r="D947" s="1">
        <v>43863</v>
      </c>
      <c r="E947" s="2">
        <v>6261</v>
      </c>
      <c r="F947" s="3">
        <v>280.64</v>
      </c>
      <c r="G947" s="3">
        <f t="shared" si="14"/>
        <v>1757087.0399999998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F8"/>
  <sheetViews>
    <sheetView zoomScale="150" zoomScaleNormal="150" workbookViewId="0"/>
  </sheetViews>
  <sheetFormatPr baseColWidth="10" defaultRowHeight="15" x14ac:dyDescent="0.25"/>
  <cols>
    <col min="5" max="5" width="44.5703125" customWidth="1"/>
  </cols>
  <sheetData>
    <row r="1" spans="1:6" x14ac:dyDescent="0.25">
      <c r="A1" s="12" t="s">
        <v>420</v>
      </c>
      <c r="B1" s="12" t="s">
        <v>421</v>
      </c>
    </row>
    <row r="2" spans="1:6" x14ac:dyDescent="0.25">
      <c r="A2" t="s">
        <v>422</v>
      </c>
      <c r="B2" s="2">
        <v>3065</v>
      </c>
    </row>
    <row r="3" spans="1:6" x14ac:dyDescent="0.25">
      <c r="A3" t="s">
        <v>423</v>
      </c>
      <c r="B3" s="2">
        <v>4143</v>
      </c>
      <c r="E3" s="13" t="s">
        <v>424</v>
      </c>
      <c r="F3" s="13" t="s">
        <v>425</v>
      </c>
    </row>
    <row r="4" spans="1:6" x14ac:dyDescent="0.25">
      <c r="A4" t="s">
        <v>426</v>
      </c>
      <c r="B4" s="2">
        <v>1894</v>
      </c>
      <c r="E4" s="14" t="s">
        <v>427</v>
      </c>
      <c r="F4" s="15" t="s">
        <v>428</v>
      </c>
    </row>
    <row r="5" spans="1:6" x14ac:dyDescent="0.25">
      <c r="A5" t="s">
        <v>429</v>
      </c>
      <c r="B5" s="2">
        <v>3085</v>
      </c>
      <c r="E5" s="14" t="s">
        <v>430</v>
      </c>
      <c r="F5" s="15" t="s">
        <v>431</v>
      </c>
    </row>
    <row r="6" spans="1:6" x14ac:dyDescent="0.25">
      <c r="A6" t="s">
        <v>432</v>
      </c>
      <c r="B6" s="2">
        <v>2670</v>
      </c>
    </row>
    <row r="7" spans="1:6" x14ac:dyDescent="0.25">
      <c r="A7" t="s">
        <v>433</v>
      </c>
      <c r="B7" s="2">
        <v>3579</v>
      </c>
    </row>
    <row r="8" spans="1:6" x14ac:dyDescent="0.25">
      <c r="A8" t="s">
        <v>434</v>
      </c>
      <c r="B8" s="2">
        <v>3299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T9"/>
  <sheetViews>
    <sheetView workbookViewId="0">
      <selection activeCell="A2" sqref="A2"/>
    </sheetView>
  </sheetViews>
  <sheetFormatPr baseColWidth="10" defaultRowHeight="15" x14ac:dyDescent="0.25"/>
  <cols>
    <col min="1" max="1" width="11.140625" customWidth="1"/>
    <col min="2" max="2" width="11.85546875" customWidth="1"/>
    <col min="4" max="4" width="16" customWidth="1"/>
    <col min="5" max="5" width="13.5703125" customWidth="1"/>
    <col min="6" max="6" width="16.7109375" customWidth="1"/>
    <col min="7" max="7" width="15" bestFit="1" customWidth="1"/>
  </cols>
  <sheetData>
    <row r="1" spans="1:2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20" x14ac:dyDescent="0.25">
      <c r="A2" t="s">
        <v>7</v>
      </c>
      <c r="B2" t="s">
        <v>399</v>
      </c>
      <c r="C2" t="s">
        <v>409</v>
      </c>
      <c r="D2" s="1">
        <v>43868</v>
      </c>
      <c r="E2" s="2">
        <v>5316</v>
      </c>
      <c r="F2" s="3">
        <f ca="1">RANDBETWEEN(2500,100000)</f>
        <v>45041</v>
      </c>
      <c r="G2" s="3"/>
    </row>
    <row r="3" spans="1:20" x14ac:dyDescent="0.25">
      <c r="A3" t="s">
        <v>8</v>
      </c>
      <c r="B3" t="s">
        <v>399</v>
      </c>
      <c r="C3" t="s">
        <v>409</v>
      </c>
      <c r="D3" s="1">
        <v>43835</v>
      </c>
      <c r="E3" s="2">
        <v>4693</v>
      </c>
      <c r="F3" s="3">
        <f t="shared" ref="F3:F9" ca="1" si="0">RANDBETWEEN(2500,100000)</f>
        <v>57842</v>
      </c>
      <c r="G3" s="3"/>
    </row>
    <row r="4" spans="1:20" x14ac:dyDescent="0.25">
      <c r="A4" t="s">
        <v>9</v>
      </c>
      <c r="B4" t="s">
        <v>397</v>
      </c>
      <c r="C4" t="s">
        <v>410</v>
      </c>
      <c r="D4" s="1">
        <v>43845</v>
      </c>
      <c r="E4" s="2">
        <v>9427</v>
      </c>
      <c r="F4" s="3">
        <f t="shared" ca="1" si="0"/>
        <v>85068</v>
      </c>
      <c r="G4" s="3"/>
    </row>
    <row r="5" spans="1:20" x14ac:dyDescent="0.25">
      <c r="A5" t="s">
        <v>10</v>
      </c>
      <c r="B5" t="s">
        <v>395</v>
      </c>
      <c r="C5" t="s">
        <v>411</v>
      </c>
      <c r="D5" s="1">
        <v>43877</v>
      </c>
      <c r="E5" s="2">
        <v>8108</v>
      </c>
      <c r="F5" s="3">
        <f t="shared" ca="1" si="0"/>
        <v>20747</v>
      </c>
      <c r="G5" s="3"/>
    </row>
    <row r="6" spans="1:20" x14ac:dyDescent="0.25">
      <c r="A6" t="s">
        <v>11</v>
      </c>
      <c r="B6" t="s">
        <v>396</v>
      </c>
      <c r="C6" t="s">
        <v>411</v>
      </c>
      <c r="D6" s="1">
        <v>43836</v>
      </c>
      <c r="E6" s="2">
        <v>4461</v>
      </c>
      <c r="F6" s="3">
        <f t="shared" ca="1" si="0"/>
        <v>57424</v>
      </c>
      <c r="G6" s="3"/>
    </row>
    <row r="7" spans="1:20" x14ac:dyDescent="0.25">
      <c r="A7" t="s">
        <v>12</v>
      </c>
      <c r="B7" t="s">
        <v>393</v>
      </c>
      <c r="C7" t="s">
        <v>410</v>
      </c>
      <c r="D7" s="1">
        <v>43887</v>
      </c>
      <c r="E7" s="2">
        <v>1349</v>
      </c>
      <c r="F7" s="3">
        <f t="shared" ca="1" si="0"/>
        <v>62502</v>
      </c>
      <c r="G7" s="3"/>
    </row>
    <row r="8" spans="1:20" x14ac:dyDescent="0.25">
      <c r="A8" t="s">
        <v>13</v>
      </c>
      <c r="B8" t="s">
        <v>397</v>
      </c>
      <c r="C8" t="s">
        <v>412</v>
      </c>
      <c r="D8" s="1">
        <v>43847</v>
      </c>
      <c r="E8" s="2">
        <v>8444</v>
      </c>
      <c r="F8" s="3">
        <f t="shared" ca="1" si="0"/>
        <v>53424</v>
      </c>
      <c r="G8" s="3"/>
      <c r="T8" t="s">
        <v>1028</v>
      </c>
    </row>
    <row r="9" spans="1:20" x14ac:dyDescent="0.25">
      <c r="A9" t="s">
        <v>14</v>
      </c>
      <c r="B9" t="s">
        <v>399</v>
      </c>
      <c r="C9" t="s">
        <v>409</v>
      </c>
      <c r="D9" s="1">
        <v>43852</v>
      </c>
      <c r="E9" s="2">
        <v>6734</v>
      </c>
      <c r="F9" s="3">
        <f t="shared" ca="1" si="0"/>
        <v>14165</v>
      </c>
      <c r="G9" s="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I9"/>
  <sheetViews>
    <sheetView zoomScale="140" zoomScaleNormal="140" workbookViewId="0">
      <selection activeCell="E11" sqref="E11"/>
    </sheetView>
  </sheetViews>
  <sheetFormatPr baseColWidth="10" defaultRowHeight="15" x14ac:dyDescent="0.25"/>
  <cols>
    <col min="3" max="3" width="19.42578125" customWidth="1"/>
    <col min="8" max="8" width="43.140625" customWidth="1"/>
  </cols>
  <sheetData>
    <row r="1" spans="1:9" x14ac:dyDescent="0.25">
      <c r="C1" s="16">
        <v>1.2999999999999999E-2</v>
      </c>
      <c r="D1" s="16">
        <v>1.9E-2</v>
      </c>
      <c r="E1" s="16">
        <v>1.0999999999999999E-2</v>
      </c>
      <c r="F1" s="16">
        <v>2.1000000000000001E-2</v>
      </c>
    </row>
    <row r="2" spans="1:9" x14ac:dyDescent="0.25">
      <c r="A2" s="12" t="s">
        <v>435</v>
      </c>
      <c r="B2" s="12" t="s">
        <v>436</v>
      </c>
      <c r="C2" s="12" t="s">
        <v>437</v>
      </c>
      <c r="D2" s="12" t="s">
        <v>438</v>
      </c>
      <c r="E2" s="12" t="s">
        <v>439</v>
      </c>
      <c r="F2" s="12" t="s">
        <v>440</v>
      </c>
    </row>
    <row r="3" spans="1:9" x14ac:dyDescent="0.25">
      <c r="A3" t="s">
        <v>422</v>
      </c>
      <c r="B3" s="2">
        <v>3065</v>
      </c>
      <c r="C3" s="30">
        <f>$B$3*C1</f>
        <v>39.844999999999999</v>
      </c>
      <c r="D3" s="30">
        <f t="shared" ref="D3:F3" si="0">$B$3*D1</f>
        <v>58.234999999999999</v>
      </c>
      <c r="E3" s="30">
        <f t="shared" si="0"/>
        <v>33.714999999999996</v>
      </c>
      <c r="F3" s="30">
        <f t="shared" si="0"/>
        <v>64.365000000000009</v>
      </c>
    </row>
    <row r="4" spans="1:9" x14ac:dyDescent="0.25">
      <c r="A4" t="s">
        <v>423</v>
      </c>
      <c r="B4" s="2">
        <v>4143</v>
      </c>
      <c r="C4" s="30">
        <f>$B$4*C1</f>
        <v>53.858999999999995</v>
      </c>
      <c r="D4" s="30">
        <f t="shared" ref="D4:F4" si="1">$B$4*D1</f>
        <v>78.716999999999999</v>
      </c>
      <c r="E4" s="30">
        <f t="shared" si="1"/>
        <v>45.573</v>
      </c>
      <c r="F4" s="30">
        <f t="shared" si="1"/>
        <v>87.003</v>
      </c>
      <c r="H4" s="13" t="s">
        <v>424</v>
      </c>
      <c r="I4" s="13" t="s">
        <v>425</v>
      </c>
    </row>
    <row r="5" spans="1:9" x14ac:dyDescent="0.25">
      <c r="A5" t="s">
        <v>426</v>
      </c>
      <c r="B5" s="2">
        <v>1894</v>
      </c>
      <c r="C5" s="30">
        <f>$B$5*C1</f>
        <v>24.622</v>
      </c>
      <c r="D5" s="30">
        <f t="shared" ref="D5:F5" si="2">$B$5*D1</f>
        <v>35.985999999999997</v>
      </c>
      <c r="E5" s="30">
        <f t="shared" si="2"/>
        <v>20.834</v>
      </c>
      <c r="F5" s="30">
        <f t="shared" si="2"/>
        <v>39.774000000000001</v>
      </c>
      <c r="H5" s="14" t="s">
        <v>441</v>
      </c>
      <c r="I5" s="15" t="s">
        <v>442</v>
      </c>
    </row>
    <row r="6" spans="1:9" x14ac:dyDescent="0.25">
      <c r="A6" t="s">
        <v>429</v>
      </c>
      <c r="B6" s="2">
        <v>3085</v>
      </c>
      <c r="C6" s="2">
        <f>$B$6*C1</f>
        <v>40.104999999999997</v>
      </c>
      <c r="D6" s="2">
        <f t="shared" ref="D6:F6" si="3">$B$6*D1</f>
        <v>58.615000000000002</v>
      </c>
      <c r="E6" s="2">
        <f t="shared" si="3"/>
        <v>33.934999999999995</v>
      </c>
      <c r="F6" s="2">
        <f t="shared" si="3"/>
        <v>64.785000000000011</v>
      </c>
      <c r="H6" s="14" t="s">
        <v>443</v>
      </c>
      <c r="I6" s="15" t="s">
        <v>444</v>
      </c>
    </row>
    <row r="7" spans="1:9" x14ac:dyDescent="0.25">
      <c r="A7" t="s">
        <v>432</v>
      </c>
      <c r="B7" s="2">
        <v>2670</v>
      </c>
      <c r="C7" s="30">
        <f>$B$7*C1</f>
        <v>34.71</v>
      </c>
      <c r="D7" s="30">
        <f t="shared" ref="D7:F7" si="4">$B$7*D1</f>
        <v>50.73</v>
      </c>
      <c r="E7" s="30">
        <f t="shared" si="4"/>
        <v>29.369999999999997</v>
      </c>
      <c r="F7" s="30">
        <f t="shared" si="4"/>
        <v>56.07</v>
      </c>
    </row>
    <row r="8" spans="1:9" x14ac:dyDescent="0.25">
      <c r="A8" t="s">
        <v>433</v>
      </c>
      <c r="B8" s="2">
        <v>3579</v>
      </c>
      <c r="C8" s="30">
        <f>$B$8*C1</f>
        <v>46.527000000000001</v>
      </c>
      <c r="D8" s="30">
        <f t="shared" ref="D8:F8" si="5">$B$8*D1</f>
        <v>68.001000000000005</v>
      </c>
      <c r="E8" s="30">
        <f t="shared" si="5"/>
        <v>39.369</v>
      </c>
      <c r="F8" s="30">
        <f t="shared" si="5"/>
        <v>75.159000000000006</v>
      </c>
    </row>
    <row r="9" spans="1:9" x14ac:dyDescent="0.25">
      <c r="A9" t="s">
        <v>434</v>
      </c>
      <c r="B9" s="2">
        <v>3299</v>
      </c>
      <c r="C9" s="30">
        <f>$B$9*C1</f>
        <v>42.887</v>
      </c>
      <c r="D9" s="30">
        <f t="shared" ref="D9:F9" si="6">$B$9*D1</f>
        <v>62.680999999999997</v>
      </c>
      <c r="E9" s="30">
        <f t="shared" si="6"/>
        <v>36.288999999999994</v>
      </c>
      <c r="F9" s="30">
        <f t="shared" si="6"/>
        <v>69.279000000000011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5"/>
  <dimension ref="A1:I31"/>
  <sheetViews>
    <sheetView zoomScale="150" zoomScaleNormal="150" workbookViewId="0">
      <selection activeCell="D34" sqref="D34"/>
    </sheetView>
  </sheetViews>
  <sheetFormatPr baseColWidth="10" defaultRowHeight="15" x14ac:dyDescent="0.25"/>
  <cols>
    <col min="2" max="2" width="11.42578125" customWidth="1"/>
    <col min="5" max="5" width="0" hidden="1" customWidth="1"/>
    <col min="8" max="8" width="37.42578125" customWidth="1"/>
  </cols>
  <sheetData>
    <row r="1" spans="1:9" x14ac:dyDescent="0.25">
      <c r="A1" s="12" t="s">
        <v>420</v>
      </c>
      <c r="B1" s="12" t="s">
        <v>421</v>
      </c>
    </row>
    <row r="2" spans="1:9" x14ac:dyDescent="0.25">
      <c r="A2" s="31" t="s">
        <v>422</v>
      </c>
      <c r="B2" s="2">
        <v>3065</v>
      </c>
    </row>
    <row r="3" spans="1:9" x14ac:dyDescent="0.25">
      <c r="A3" t="s">
        <v>423</v>
      </c>
      <c r="B3" s="2">
        <v>4143</v>
      </c>
      <c r="H3" s="13" t="s">
        <v>424</v>
      </c>
      <c r="I3" s="13" t="s">
        <v>425</v>
      </c>
    </row>
    <row r="4" spans="1:9" x14ac:dyDescent="0.25">
      <c r="A4" t="s">
        <v>426</v>
      </c>
      <c r="B4" s="2">
        <v>1894</v>
      </c>
      <c r="H4" s="14" t="s">
        <v>445</v>
      </c>
      <c r="I4" s="15" t="s">
        <v>446</v>
      </c>
    </row>
    <row r="5" spans="1:9" x14ac:dyDescent="0.25">
      <c r="A5" t="s">
        <v>429</v>
      </c>
      <c r="B5" s="2">
        <v>3085</v>
      </c>
      <c r="D5" s="18"/>
      <c r="H5" s="14" t="s">
        <v>447</v>
      </c>
      <c r="I5" s="15" t="s">
        <v>448</v>
      </c>
    </row>
    <row r="6" spans="1:9" x14ac:dyDescent="0.25">
      <c r="A6" t="s">
        <v>432</v>
      </c>
      <c r="B6" s="2">
        <v>2670</v>
      </c>
      <c r="H6" s="14" t="s">
        <v>449</v>
      </c>
      <c r="I6" s="15" t="s">
        <v>450</v>
      </c>
    </row>
    <row r="7" spans="1:9" x14ac:dyDescent="0.25">
      <c r="A7" t="s">
        <v>433</v>
      </c>
      <c r="B7" s="2">
        <v>3579</v>
      </c>
      <c r="D7" s="18"/>
      <c r="H7" s="14" t="s">
        <v>451</v>
      </c>
      <c r="I7" s="15" t="s">
        <v>452</v>
      </c>
    </row>
    <row r="8" spans="1:9" x14ac:dyDescent="0.25">
      <c r="A8" t="s">
        <v>434</v>
      </c>
      <c r="B8" s="2">
        <v>3299</v>
      </c>
      <c r="H8" s="14" t="s">
        <v>453</v>
      </c>
      <c r="I8" s="15" t="s">
        <v>454</v>
      </c>
    </row>
    <row r="9" spans="1:9" x14ac:dyDescent="0.25">
      <c r="D9" s="19"/>
      <c r="H9" s="14" t="s">
        <v>455</v>
      </c>
      <c r="I9" s="15" t="s">
        <v>456</v>
      </c>
    </row>
    <row r="10" spans="1:9" hidden="1" x14ac:dyDescent="0.25">
      <c r="H10" s="14" t="s">
        <v>457</v>
      </c>
      <c r="I10" s="15" t="s">
        <v>458</v>
      </c>
    </row>
    <row r="11" spans="1:9" hidden="1" x14ac:dyDescent="0.25"/>
    <row r="12" spans="1:9" hidden="1" x14ac:dyDescent="0.25"/>
    <row r="13" spans="1:9" hidden="1" x14ac:dyDescent="0.25"/>
    <row r="14" spans="1:9" hidden="1" x14ac:dyDescent="0.25"/>
    <row r="15" spans="1:9" hidden="1" x14ac:dyDescent="0.25"/>
    <row r="16" spans="1:9" hidden="1" x14ac:dyDescent="0.25"/>
    <row r="17" hidden="1" x14ac:dyDescent="0.25"/>
    <row r="18" hidden="1" x14ac:dyDescent="0.25"/>
    <row r="19" hidden="1" x14ac:dyDescent="0.25"/>
    <row r="20" hidden="1" x14ac:dyDescent="0.25"/>
    <row r="21" hidden="1" x14ac:dyDescent="0.25"/>
    <row r="22" hidden="1" x14ac:dyDescent="0.25"/>
    <row r="23" hidden="1" x14ac:dyDescent="0.25"/>
    <row r="24" hidden="1" x14ac:dyDescent="0.25"/>
    <row r="25" hidden="1" x14ac:dyDescent="0.25"/>
    <row r="26" hidden="1" x14ac:dyDescent="0.25"/>
    <row r="27" hidden="1" x14ac:dyDescent="0.25"/>
    <row r="28" hidden="1" x14ac:dyDescent="0.25"/>
    <row r="29" hidden="1" x14ac:dyDescent="0.25"/>
    <row r="30" hidden="1" x14ac:dyDescent="0.25"/>
    <row r="31" hidden="1" x14ac:dyDescent="0.25"/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5</vt:i4>
      </vt:variant>
      <vt:variant>
        <vt:lpstr>Gráficos</vt:lpstr>
      </vt:variant>
      <vt:variant>
        <vt:i4>1</vt:i4>
      </vt:variant>
      <vt:variant>
        <vt:lpstr>Rangos con nombre</vt:lpstr>
      </vt:variant>
      <vt:variant>
        <vt:i4>7</vt:i4>
      </vt:variant>
    </vt:vector>
  </HeadingPairs>
  <TitlesOfParts>
    <vt:vector size="13" baseType="lpstr">
      <vt:lpstr>Ejercicio</vt:lpstr>
      <vt:lpstr>Gráficos</vt:lpstr>
      <vt:lpstr>Atajos1</vt:lpstr>
      <vt:lpstr>Series fórmulas</vt:lpstr>
      <vt:lpstr>Formatos</vt:lpstr>
      <vt:lpstr>Gráfico4</vt:lpstr>
      <vt:lpstr>Cantidad</vt:lpstr>
      <vt:lpstr>Código</vt:lpstr>
      <vt:lpstr>Costo_total</vt:lpstr>
      <vt:lpstr>Costo_unitario</vt:lpstr>
      <vt:lpstr>Destino</vt:lpstr>
      <vt:lpstr>Fecha_Ingreso</vt:lpstr>
      <vt:lpstr>Procedencia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Bazo</dc:creator>
  <cp:lastModifiedBy>ADSO</cp:lastModifiedBy>
  <dcterms:created xsi:type="dcterms:W3CDTF">2020-03-05T17:48:54Z</dcterms:created>
  <dcterms:modified xsi:type="dcterms:W3CDTF">2025-02-22T01:02:01Z</dcterms:modified>
</cp:coreProperties>
</file>